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<sst xmlns="http://schemas.openxmlformats.org/spreadsheetml/2006/main" count="634" uniqueCount="98">
  <si>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</si>
  <si>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</si>
  <si>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</si>
  <si>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</si>
  <si>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</si>
  <si>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</si>
  <si>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 xml:space="preserve">Services Availed: Quality Assurance Office 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</si>
  <si>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</si>
  <si>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</si>
  <si>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</si>
  <si>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</si>
  <si>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</si>
  <si>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</si>
  <si>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</si>
  <si>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</si>
  <si>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</si>
  <si>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</si>
  <si>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</si>
  <si>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</si>
  <si>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Student</t>
  </si>
  <si>
    <t>CAS</t>
  </si>
  <si>
    <t>Female</t>
  </si>
  <si>
    <t>Monitoring of Accreditations &amp; ISO Certifications, Implementation of Documents Management System</t>
  </si>
  <si>
    <t xml:space="preserve">Excellent </t>
  </si>
  <si>
    <t>None</t>
  </si>
  <si>
    <t>CCS</t>
  </si>
  <si>
    <t>College of business administration</t>
  </si>
  <si>
    <t>Male</t>
  </si>
  <si>
    <t>It's very professional and the staff and people a to polite, and also they're practicing hospitality and responsible for any transaction in their office</t>
  </si>
  <si>
    <t>None, I can say that they already improved in any circumstances</t>
  </si>
  <si>
    <t>Faculty/Staff</t>
  </si>
  <si>
    <t>Staff</t>
  </si>
  <si>
    <t>QA System</t>
  </si>
  <si>
    <t>President's Office</t>
  </si>
  <si>
    <t>receiving of documents</t>
  </si>
  <si>
    <t>Salamat kay Lord</t>
  </si>
  <si>
    <t>Monitoring of Accreditations &amp; ISO Certifications</t>
  </si>
  <si>
    <t>N/A</t>
  </si>
  <si>
    <t>SHS</t>
  </si>
  <si>
    <t>Implementation of Documents Management System</t>
  </si>
  <si>
    <t>GCC</t>
  </si>
  <si>
    <t>Thanks for your hardwork.</t>
  </si>
  <si>
    <t>passing output</t>
  </si>
  <si>
    <t>None, their service is good and they handle us politely.</t>
  </si>
  <si>
    <t>very good</t>
  </si>
  <si>
    <t>ELEMENTARY</t>
  </si>
  <si>
    <t>Documents</t>
  </si>
  <si>
    <t>Excellent service</t>
  </si>
  <si>
    <t>Passing output</t>
  </si>
  <si>
    <t>None, It's all good. Thank You</t>
  </si>
  <si>
    <t>Submitting</t>
  </si>
  <si>
    <t>Passing Activity</t>
  </si>
  <si>
    <t xml:space="preserve">Implementation of Documents Management System, </t>
  </si>
  <si>
    <t>Gcc</t>
  </si>
  <si>
    <t xml:space="preserve">Library </t>
  </si>
  <si>
    <t>ICT</t>
  </si>
  <si>
    <t>VP REQA Office</t>
  </si>
  <si>
    <t>CTE</t>
  </si>
  <si>
    <t>NSTP</t>
  </si>
  <si>
    <t>RCEC</t>
  </si>
  <si>
    <t>Good job.</t>
  </si>
  <si>
    <t>CBA</t>
  </si>
  <si>
    <t>Training</t>
  </si>
  <si>
    <t>Building and grounds</t>
  </si>
  <si>
    <t>Chaplain's Office JO</t>
  </si>
  <si>
    <t xml:space="preserve">Elementary </t>
  </si>
  <si>
    <t xml:space="preserve">Congratulations for the successful activity! </t>
  </si>
  <si>
    <t>PCO</t>
  </si>
  <si>
    <t>Workshop on Nextcloud &amp; Google Workspace.</t>
  </si>
  <si>
    <t>More trainings and workshops.</t>
  </si>
  <si>
    <t>Security</t>
  </si>
  <si>
    <t>So good</t>
  </si>
  <si>
    <t>Need help to ensure that we able to complied the required documents step by step. Thank you.</t>
  </si>
  <si>
    <t>Clinic</t>
  </si>
  <si>
    <t>QA training</t>
  </si>
  <si>
    <t>Ok lang</t>
  </si>
  <si>
    <t>Very goog</t>
  </si>
  <si>
    <t>Implementation of Documents Management System, QA System Training</t>
  </si>
  <si>
    <t>JHS</t>
  </si>
  <si>
    <t>Submission</t>
  </si>
  <si>
    <t>Prefer not to say</t>
  </si>
  <si>
    <t>Docs</t>
  </si>
  <si>
    <t>well provided</t>
  </si>
  <si>
    <t>Working</t>
  </si>
  <si>
    <t>Forward Documents</t>
  </si>
  <si>
    <t>Guest</t>
  </si>
  <si>
    <t>-</t>
  </si>
  <si>
    <t>VISIT</t>
  </si>
  <si>
    <t>WORKING</t>
  </si>
  <si>
    <t>Keep up the good work :)</t>
  </si>
  <si>
    <t>documents</t>
  </si>
  <si>
    <t>docunents</t>
  </si>
  <si>
    <t>dicuments</t>
  </si>
  <si>
    <t>Parent/Guardian</t>
  </si>
  <si>
    <t xml:space="preserve">documents </t>
  </si>
  <si>
    <t>ducuments</t>
  </si>
  <si>
    <t>NA</t>
  </si>
  <si>
    <t>9/22/0026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</si>
</sst>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36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Quality Assurance Office 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6.13"/>
    <col customWidth="1" min="8" max="18" width="37.63"/>
    <col customWidth="1" min="19" max="24" width="18.88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  <row r="2" ht="22.5" customHeight="1">
      <c r="A2" s="5">
        <v>45946.39104033565</v>
      </c>
      <c r="B2" s="6" t="s">
        <v>18</v>
      </c>
      <c r="C2" s="7">
        <v>45946.0</v>
      </c>
      <c r="D2" s="6" t="s">
        <v>19</v>
      </c>
      <c r="E2" s="6" t="s">
        <v>20</v>
      </c>
      <c r="F2" s="6" t="s">
        <v>21</v>
      </c>
      <c r="G2" s="6" t="s">
        <v>22</v>
      </c>
      <c r="H2" s="6">
        <v>5.0</v>
      </c>
      <c r="I2" s="6">
        <v>5.0</v>
      </c>
      <c r="J2" s="6">
        <v>5.0</v>
      </c>
      <c r="K2" s="6">
        <v>5.0</v>
      </c>
      <c r="L2" s="8"/>
      <c r="M2" s="6">
        <v>5.0</v>
      </c>
      <c r="N2" s="6">
        <v>5.0</v>
      </c>
      <c r="O2" s="6">
        <v>5.0</v>
      </c>
      <c r="P2" s="6">
        <v>10.0</v>
      </c>
      <c r="Q2" s="9" t="s">
        <v>23</v>
      </c>
      <c r="R2" s="9" t="s">
        <v>24</v>
      </c>
    </row>
    <row r="3" ht="22.5" customHeight="1">
      <c r="A3" s="5">
        <v>45946.391041863426</v>
      </c>
      <c r="B3" s="6" t="s">
        <v>18</v>
      </c>
      <c r="C3" s="7">
        <v>45946.0</v>
      </c>
      <c r="D3" s="6" t="s">
        <v>19</v>
      </c>
      <c r="E3" s="6" t="s">
        <v>25</v>
      </c>
      <c r="F3" s="6" t="s">
        <v>21</v>
      </c>
      <c r="G3" s="6" t="s">
        <v>22</v>
      </c>
      <c r="H3" s="6">
        <v>5.0</v>
      </c>
      <c r="I3" s="6">
        <v>5.0</v>
      </c>
      <c r="J3" s="6">
        <v>5.0</v>
      </c>
      <c r="K3" s="6">
        <v>5.0</v>
      </c>
      <c r="L3" s="8"/>
      <c r="M3" s="6">
        <v>5.0</v>
      </c>
      <c r="N3" s="6">
        <v>5.0</v>
      </c>
      <c r="O3" s="6">
        <v>5.0</v>
      </c>
      <c r="P3" s="6">
        <v>10.0</v>
      </c>
      <c r="Q3" s="9" t="s">
        <v>23</v>
      </c>
      <c r="R3" s="9" t="s">
        <v>24</v>
      </c>
    </row>
    <row r="4" ht="22.5" customHeight="1">
      <c r="A4" s="5">
        <v>45946.39396783565</v>
      </c>
      <c r="B4" s="6" t="s">
        <v>18</v>
      </c>
      <c r="C4" s="7">
        <v>45946.0</v>
      </c>
      <c r="D4" s="6" t="s">
        <v>19</v>
      </c>
      <c r="E4" s="6" t="s">
        <v>26</v>
      </c>
      <c r="F4" s="6" t="s">
        <v>27</v>
      </c>
      <c r="G4" s="6" t="s">
        <v>22</v>
      </c>
      <c r="H4" s="6">
        <v>5.0</v>
      </c>
      <c r="I4" s="6">
        <v>5.0</v>
      </c>
      <c r="J4" s="6">
        <v>5.0</v>
      </c>
      <c r="K4" s="6">
        <v>5.0</v>
      </c>
      <c r="L4" s="8"/>
      <c r="M4" s="6">
        <v>5.0</v>
      </c>
      <c r="N4" s="6">
        <v>5.0</v>
      </c>
      <c r="O4" s="6">
        <v>4.0</v>
      </c>
      <c r="P4" s="6">
        <v>8.0</v>
      </c>
      <c r="Q4" s="9" t="s">
        <v>28</v>
      </c>
      <c r="R4" s="9" t="s">
        <v>29</v>
      </c>
    </row>
    <row r="5" ht="22.5" customHeight="1">
      <c r="A5" s="5">
        <v>45954.42299723379</v>
      </c>
      <c r="B5" s="6" t="s">
        <v>18</v>
      </c>
      <c r="C5" s="7">
        <v>45954.0</v>
      </c>
      <c r="D5" s="6" t="s">
        <v>30</v>
      </c>
      <c r="E5" s="6" t="s">
        <v>31</v>
      </c>
      <c r="F5" s="6" t="s">
        <v>27</v>
      </c>
      <c r="G5" s="6" t="s">
        <v>22</v>
      </c>
      <c r="H5" s="6">
        <v>5.0</v>
      </c>
      <c r="I5" s="6">
        <v>5.0</v>
      </c>
      <c r="J5" s="6">
        <v>5.0</v>
      </c>
      <c r="K5" s="6">
        <v>5.0</v>
      </c>
      <c r="L5" s="8"/>
      <c r="M5" s="6">
        <v>5.0</v>
      </c>
      <c r="N5" s="6">
        <v>5.0</v>
      </c>
      <c r="O5" s="6">
        <v>5.0</v>
      </c>
      <c r="P5" s="6">
        <v>10.0</v>
      </c>
      <c r="Q5" s="10"/>
      <c r="R5" s="9" t="s">
        <v>32</v>
      </c>
    </row>
    <row r="6" ht="22.5" customHeight="1">
      <c r="A6" s="5">
        <v>45967.545400358795</v>
      </c>
      <c r="B6" s="6" t="s">
        <v>18</v>
      </c>
      <c r="C6" s="7">
        <v>45953.0</v>
      </c>
      <c r="D6" s="6" t="s">
        <v>19</v>
      </c>
      <c r="E6" s="6" t="s">
        <v>33</v>
      </c>
      <c r="F6" s="6" t="s">
        <v>27</v>
      </c>
      <c r="G6" s="6" t="s">
        <v>34</v>
      </c>
      <c r="H6" s="6">
        <v>5.0</v>
      </c>
      <c r="I6" s="6">
        <v>5.0</v>
      </c>
      <c r="J6" s="6">
        <v>5.0</v>
      </c>
      <c r="K6" s="6">
        <v>5.0</v>
      </c>
      <c r="L6" s="8"/>
      <c r="M6" s="6">
        <v>5.0</v>
      </c>
      <c r="N6" s="6">
        <v>5.0</v>
      </c>
      <c r="O6" s="6">
        <v>5.0</v>
      </c>
      <c r="P6" s="6">
        <v>10.0</v>
      </c>
      <c r="Q6" s="10"/>
      <c r="R6" s="9" t="s">
        <v>35</v>
      </c>
    </row>
    <row r="7" ht="29.25" customHeight="1">
      <c r="A7" s="5">
        <v>45967.54978912037</v>
      </c>
      <c r="B7" s="6" t="s">
        <v>18</v>
      </c>
      <c r="C7" s="7">
        <v>45946.0</v>
      </c>
      <c r="D7" s="6" t="s">
        <v>19</v>
      </c>
      <c r="E7" s="8"/>
      <c r="F7" s="6" t="s">
        <v>27</v>
      </c>
      <c r="G7" s="6" t="s">
        <v>36</v>
      </c>
      <c r="H7" s="8"/>
      <c r="I7" s="8"/>
      <c r="J7" s="8"/>
      <c r="K7" s="6">
        <v>5.0</v>
      </c>
      <c r="L7" s="8"/>
      <c r="M7" s="6">
        <v>5.0</v>
      </c>
      <c r="N7" s="6">
        <v>5.0</v>
      </c>
      <c r="O7" s="6">
        <v>5.0</v>
      </c>
      <c r="P7" s="6">
        <v>10.0</v>
      </c>
      <c r="Q7" s="10"/>
      <c r="R7" s="9" t="s">
        <v>37</v>
      </c>
    </row>
    <row r="8" ht="22.5" hidden="1" customHeight="1">
      <c r="A8" s="5">
        <v>45967.550723078704</v>
      </c>
      <c r="B8" s="6" t="s">
        <v>18</v>
      </c>
      <c r="C8" s="7">
        <v>45946.0</v>
      </c>
      <c r="D8" s="6" t="s">
        <v>19</v>
      </c>
      <c r="E8" s="6" t="s">
        <v>38</v>
      </c>
      <c r="F8" s="6" t="s">
        <v>21</v>
      </c>
      <c r="G8" s="6" t="s">
        <v>36</v>
      </c>
      <c r="H8" s="6">
        <v>4.0</v>
      </c>
      <c r="I8" s="6">
        <v>4.0</v>
      </c>
      <c r="J8" s="6">
        <v>4.0</v>
      </c>
      <c r="K8" s="6">
        <v>4.0</v>
      </c>
      <c r="L8" s="8"/>
      <c r="M8" s="6">
        <v>4.0</v>
      </c>
      <c r="N8" s="6">
        <v>4.0</v>
      </c>
      <c r="O8" s="6">
        <v>4.0</v>
      </c>
      <c r="P8" s="6">
        <v>9.0</v>
      </c>
      <c r="Q8" s="10"/>
      <c r="R8" s="10"/>
    </row>
    <row r="9" ht="22.5" hidden="1" customHeight="1">
      <c r="A9" s="5">
        <v>45967.551633668976</v>
      </c>
      <c r="B9" s="6" t="s">
        <v>18</v>
      </c>
      <c r="C9" s="7">
        <v>45946.0</v>
      </c>
      <c r="D9" s="6" t="s">
        <v>30</v>
      </c>
      <c r="E9" s="8"/>
      <c r="F9" s="6" t="s">
        <v>21</v>
      </c>
      <c r="G9" s="6" t="s">
        <v>39</v>
      </c>
      <c r="H9" s="6">
        <v>5.0</v>
      </c>
      <c r="I9" s="6">
        <v>5.0</v>
      </c>
      <c r="J9" s="6">
        <v>5.0</v>
      </c>
      <c r="K9" s="6">
        <v>5.0</v>
      </c>
      <c r="L9" s="8"/>
      <c r="M9" s="6">
        <v>5.0</v>
      </c>
      <c r="N9" s="6">
        <v>5.0</v>
      </c>
      <c r="O9" s="6">
        <v>5.0</v>
      </c>
      <c r="P9" s="6">
        <v>8.0</v>
      </c>
      <c r="Q9" s="10"/>
      <c r="R9" s="10"/>
    </row>
    <row r="10" ht="22.5" customHeight="1">
      <c r="A10" s="5">
        <v>45967.552730358795</v>
      </c>
      <c r="B10" s="6" t="s">
        <v>18</v>
      </c>
      <c r="C10" s="7">
        <v>45945.0</v>
      </c>
      <c r="D10" s="6" t="s">
        <v>30</v>
      </c>
      <c r="E10" s="6" t="s">
        <v>40</v>
      </c>
      <c r="F10" s="6" t="s">
        <v>21</v>
      </c>
      <c r="G10" s="6" t="s">
        <v>36</v>
      </c>
      <c r="H10" s="6">
        <v>5.0</v>
      </c>
      <c r="I10" s="6">
        <v>5.0</v>
      </c>
      <c r="J10" s="6">
        <v>5.0</v>
      </c>
      <c r="K10" s="6">
        <v>5.0</v>
      </c>
      <c r="L10" s="8"/>
      <c r="M10" s="6">
        <v>5.0</v>
      </c>
      <c r="N10" s="6">
        <v>5.0</v>
      </c>
      <c r="O10" s="6">
        <v>5.0</v>
      </c>
      <c r="P10" s="6">
        <v>9.0</v>
      </c>
      <c r="Q10" s="9" t="s">
        <v>41</v>
      </c>
      <c r="R10" s="10"/>
    </row>
    <row r="11" ht="22.5" hidden="1" customHeight="1">
      <c r="A11" s="5">
        <v>45967.553827094904</v>
      </c>
      <c r="B11" s="6" t="s">
        <v>18</v>
      </c>
      <c r="C11" s="7">
        <v>45946.0</v>
      </c>
      <c r="D11" s="6" t="s">
        <v>19</v>
      </c>
      <c r="E11" s="8"/>
      <c r="F11" s="6" t="s">
        <v>27</v>
      </c>
      <c r="G11" s="6" t="s">
        <v>36</v>
      </c>
      <c r="H11" s="6">
        <v>4.0</v>
      </c>
      <c r="I11" s="6">
        <v>4.0</v>
      </c>
      <c r="J11" s="6">
        <v>4.0</v>
      </c>
      <c r="K11" s="6">
        <v>5.0</v>
      </c>
      <c r="L11" s="8"/>
      <c r="M11" s="6">
        <v>5.0</v>
      </c>
      <c r="N11" s="6">
        <v>5.0</v>
      </c>
      <c r="O11" s="6">
        <v>5.0</v>
      </c>
      <c r="P11" s="6">
        <v>9.0</v>
      </c>
      <c r="Q11" s="10"/>
      <c r="R11" s="10"/>
    </row>
    <row r="12" ht="22.5" hidden="1" customHeight="1">
      <c r="A12" s="5">
        <v>45967.55460565972</v>
      </c>
      <c r="B12" s="6" t="s">
        <v>18</v>
      </c>
      <c r="C12" s="7">
        <v>45984.0</v>
      </c>
      <c r="D12" s="6" t="s">
        <v>19</v>
      </c>
      <c r="E12" s="8"/>
      <c r="F12" s="6" t="s">
        <v>27</v>
      </c>
      <c r="G12" s="6" t="s">
        <v>36</v>
      </c>
      <c r="H12" s="6">
        <v>4.0</v>
      </c>
      <c r="I12" s="6">
        <v>4.0</v>
      </c>
      <c r="J12" s="6">
        <v>4.0</v>
      </c>
      <c r="K12" s="6">
        <v>4.0</v>
      </c>
      <c r="L12" s="8"/>
      <c r="M12" s="6">
        <v>4.0</v>
      </c>
      <c r="N12" s="6">
        <v>4.0</v>
      </c>
      <c r="O12" s="6">
        <v>4.0</v>
      </c>
      <c r="P12" s="6">
        <v>8.0</v>
      </c>
      <c r="Q12" s="10"/>
      <c r="R12" s="10"/>
    </row>
    <row r="13" ht="22.5" customHeight="1">
      <c r="A13" s="5">
        <v>45967.55579991898</v>
      </c>
      <c r="B13" s="6" t="s">
        <v>18</v>
      </c>
      <c r="C13" s="7">
        <v>45984.0</v>
      </c>
      <c r="D13" s="6" t="s">
        <v>19</v>
      </c>
      <c r="E13" s="8"/>
      <c r="F13" s="6" t="s">
        <v>21</v>
      </c>
      <c r="G13" s="6" t="s">
        <v>42</v>
      </c>
      <c r="H13" s="6">
        <v>4.0</v>
      </c>
      <c r="I13" s="6">
        <v>4.0</v>
      </c>
      <c r="J13" s="6">
        <v>4.0</v>
      </c>
      <c r="K13" s="6">
        <v>5.0</v>
      </c>
      <c r="L13" s="8"/>
      <c r="M13" s="6">
        <v>5.0</v>
      </c>
      <c r="N13" s="6">
        <v>5.0</v>
      </c>
      <c r="O13" s="6">
        <v>5.0</v>
      </c>
      <c r="P13" s="6">
        <v>10.0</v>
      </c>
      <c r="Q13" s="9" t="s">
        <v>43</v>
      </c>
      <c r="R13" s="10"/>
    </row>
    <row r="14" ht="22.5" customHeight="1">
      <c r="A14" s="5">
        <v>45967.57716850695</v>
      </c>
      <c r="B14" s="6" t="s">
        <v>18</v>
      </c>
      <c r="C14" s="7">
        <v>45954.0</v>
      </c>
      <c r="D14" s="6" t="s">
        <v>19</v>
      </c>
      <c r="E14" s="8"/>
      <c r="F14" s="6" t="s">
        <v>21</v>
      </c>
      <c r="G14" s="6" t="s">
        <v>36</v>
      </c>
      <c r="H14" s="6">
        <v>5.0</v>
      </c>
      <c r="I14" s="6">
        <v>5.0</v>
      </c>
      <c r="J14" s="6">
        <v>5.0</v>
      </c>
      <c r="K14" s="6">
        <v>5.0</v>
      </c>
      <c r="L14" s="8"/>
      <c r="M14" s="6">
        <v>5.0</v>
      </c>
      <c r="N14" s="6">
        <v>5.0</v>
      </c>
      <c r="O14" s="6">
        <v>5.0</v>
      </c>
      <c r="P14" s="6">
        <v>10.0</v>
      </c>
      <c r="Q14" s="9" t="s">
        <v>44</v>
      </c>
      <c r="R14" s="10"/>
    </row>
    <row r="15" ht="22.5" customHeight="1">
      <c r="A15" s="5">
        <v>45967.6004116088</v>
      </c>
      <c r="B15" s="6" t="s">
        <v>18</v>
      </c>
      <c r="C15" s="7">
        <v>45946.0</v>
      </c>
      <c r="D15" s="6" t="s">
        <v>30</v>
      </c>
      <c r="E15" s="6" t="s">
        <v>45</v>
      </c>
      <c r="F15" s="6" t="s">
        <v>21</v>
      </c>
      <c r="G15" s="6" t="s">
        <v>46</v>
      </c>
      <c r="H15" s="6">
        <v>5.0</v>
      </c>
      <c r="I15" s="6">
        <v>5.0</v>
      </c>
      <c r="J15" s="6">
        <v>5.0</v>
      </c>
      <c r="K15" s="6">
        <v>5.0</v>
      </c>
      <c r="L15" s="8"/>
      <c r="M15" s="6">
        <v>5.0</v>
      </c>
      <c r="N15" s="6">
        <v>5.0</v>
      </c>
      <c r="O15" s="6">
        <v>5.0</v>
      </c>
      <c r="P15" s="6">
        <v>10.0</v>
      </c>
      <c r="Q15" s="9" t="s">
        <v>47</v>
      </c>
      <c r="R15" s="10"/>
    </row>
    <row r="16" ht="22.5" customHeight="1">
      <c r="A16" s="5">
        <v>45967.611188298615</v>
      </c>
      <c r="B16" s="6" t="s">
        <v>18</v>
      </c>
      <c r="C16" s="7">
        <v>45950.0</v>
      </c>
      <c r="D16" s="6" t="s">
        <v>19</v>
      </c>
      <c r="E16" s="8"/>
      <c r="F16" s="6" t="s">
        <v>21</v>
      </c>
      <c r="G16" s="6" t="s">
        <v>48</v>
      </c>
      <c r="H16" s="6">
        <v>4.0</v>
      </c>
      <c r="I16" s="6">
        <v>4.0</v>
      </c>
      <c r="J16" s="6">
        <v>4.0</v>
      </c>
      <c r="K16" s="6">
        <v>5.0</v>
      </c>
      <c r="L16" s="8"/>
      <c r="M16" s="6">
        <v>5.0</v>
      </c>
      <c r="N16" s="6">
        <v>5.0</v>
      </c>
      <c r="O16" s="6">
        <v>4.0</v>
      </c>
      <c r="P16" s="6">
        <v>9.0</v>
      </c>
      <c r="Q16" s="9" t="s">
        <v>49</v>
      </c>
      <c r="R16" s="10"/>
    </row>
    <row r="17" ht="22.5" customHeight="1">
      <c r="A17" s="5">
        <v>45967.61172332176</v>
      </c>
      <c r="B17" s="6" t="s">
        <v>18</v>
      </c>
      <c r="C17" s="7">
        <v>45952.0</v>
      </c>
      <c r="D17" s="6" t="s">
        <v>30</v>
      </c>
      <c r="E17" s="8"/>
      <c r="F17" s="6" t="s">
        <v>21</v>
      </c>
      <c r="G17" s="6" t="s">
        <v>36</v>
      </c>
      <c r="H17" s="6">
        <v>5.0</v>
      </c>
      <c r="I17" s="6">
        <v>5.0</v>
      </c>
      <c r="J17" s="6">
        <v>5.0</v>
      </c>
      <c r="K17" s="6">
        <v>5.0</v>
      </c>
      <c r="L17" s="8"/>
      <c r="M17" s="6">
        <v>5.0</v>
      </c>
      <c r="N17" s="6">
        <v>5.0</v>
      </c>
      <c r="O17" s="6">
        <v>5.0</v>
      </c>
      <c r="P17" s="6">
        <v>10.0</v>
      </c>
      <c r="Q17" s="8"/>
      <c r="R17" s="8"/>
    </row>
    <row r="18" ht="22.5" customHeight="1">
      <c r="A18" s="5">
        <v>45967.61287166667</v>
      </c>
      <c r="B18" s="6" t="s">
        <v>18</v>
      </c>
      <c r="C18" s="7">
        <v>45946.0</v>
      </c>
      <c r="D18" s="6" t="s">
        <v>19</v>
      </c>
      <c r="E18" s="8"/>
      <c r="F18" s="6" t="s">
        <v>27</v>
      </c>
      <c r="G18" s="6" t="s">
        <v>50</v>
      </c>
      <c r="H18" s="6">
        <v>5.0</v>
      </c>
      <c r="I18" s="6">
        <v>4.0</v>
      </c>
      <c r="J18" s="6">
        <v>4.0</v>
      </c>
      <c r="K18" s="6">
        <v>5.0</v>
      </c>
      <c r="L18" s="8"/>
      <c r="M18" s="6">
        <v>4.0</v>
      </c>
      <c r="N18" s="6">
        <v>4.0</v>
      </c>
      <c r="O18" s="6">
        <v>4.0</v>
      </c>
      <c r="P18" s="6">
        <v>9.0</v>
      </c>
      <c r="Q18" s="8"/>
      <c r="R18" s="8"/>
    </row>
    <row r="19" ht="22.5" customHeight="1">
      <c r="A19" s="5">
        <v>45967.61691777778</v>
      </c>
      <c r="B19" s="6" t="s">
        <v>18</v>
      </c>
      <c r="C19" s="7">
        <v>45946.0</v>
      </c>
      <c r="D19" s="6" t="s">
        <v>30</v>
      </c>
      <c r="E19" s="8"/>
      <c r="F19" s="6" t="s">
        <v>27</v>
      </c>
      <c r="G19" s="6" t="s">
        <v>46</v>
      </c>
      <c r="H19" s="6">
        <v>5.0</v>
      </c>
      <c r="I19" s="6">
        <v>5.0</v>
      </c>
      <c r="J19" s="6">
        <v>5.0</v>
      </c>
      <c r="K19" s="6">
        <v>5.0</v>
      </c>
      <c r="L19" s="8"/>
      <c r="M19" s="6">
        <v>5.0</v>
      </c>
      <c r="N19" s="6">
        <v>5.0</v>
      </c>
      <c r="O19" s="6">
        <v>5.0</v>
      </c>
      <c r="P19" s="6">
        <v>10.0</v>
      </c>
      <c r="Q19" s="8"/>
      <c r="R19" s="8"/>
    </row>
    <row r="20" ht="22.5" customHeight="1">
      <c r="A20" s="5">
        <v>45967.617996712965</v>
      </c>
      <c r="B20" s="6" t="s">
        <v>18</v>
      </c>
      <c r="C20" s="7">
        <v>45977.0</v>
      </c>
      <c r="D20" s="6" t="s">
        <v>19</v>
      </c>
      <c r="E20" s="8"/>
      <c r="F20" s="6" t="s">
        <v>27</v>
      </c>
      <c r="G20" s="6" t="s">
        <v>46</v>
      </c>
      <c r="H20" s="6">
        <v>5.0</v>
      </c>
      <c r="I20" s="6">
        <v>5.0</v>
      </c>
      <c r="J20" s="6">
        <v>5.0</v>
      </c>
      <c r="K20" s="6">
        <v>5.0</v>
      </c>
      <c r="L20" s="8"/>
      <c r="M20" s="6">
        <v>5.0</v>
      </c>
      <c r="N20" s="6">
        <v>5.0</v>
      </c>
      <c r="O20" s="6">
        <v>5.0</v>
      </c>
      <c r="P20" s="6">
        <v>10.0</v>
      </c>
      <c r="Q20" s="8"/>
      <c r="R20" s="8"/>
    </row>
    <row r="21" ht="22.5" customHeight="1">
      <c r="A21" s="5">
        <v>45967.61939994213</v>
      </c>
      <c r="B21" s="6" t="s">
        <v>18</v>
      </c>
      <c r="C21" s="7">
        <v>45947.0</v>
      </c>
      <c r="D21" s="6" t="s">
        <v>19</v>
      </c>
      <c r="E21" s="6" t="s">
        <v>38</v>
      </c>
      <c r="F21" s="6" t="s">
        <v>27</v>
      </c>
      <c r="G21" s="6" t="s">
        <v>51</v>
      </c>
      <c r="H21" s="6">
        <v>5.0</v>
      </c>
      <c r="I21" s="6">
        <v>5.0</v>
      </c>
      <c r="J21" s="8"/>
      <c r="K21" s="6">
        <v>4.0</v>
      </c>
      <c r="L21" s="8"/>
      <c r="M21" s="6">
        <v>5.0</v>
      </c>
      <c r="N21" s="6">
        <v>4.0</v>
      </c>
      <c r="O21" s="6">
        <v>2.0</v>
      </c>
      <c r="P21" s="6">
        <v>8.0</v>
      </c>
      <c r="Q21" s="8"/>
      <c r="R21" s="8"/>
    </row>
    <row r="22" ht="22.5" customHeight="1">
      <c r="A22" s="5">
        <v>45967.62056766204</v>
      </c>
      <c r="B22" s="6" t="s">
        <v>18</v>
      </c>
      <c r="C22" s="7">
        <v>45946.0</v>
      </c>
      <c r="D22" s="6" t="s">
        <v>19</v>
      </c>
      <c r="E22" s="8"/>
      <c r="F22" s="6" t="s">
        <v>27</v>
      </c>
      <c r="G22" s="6" t="s">
        <v>48</v>
      </c>
      <c r="H22" s="6">
        <v>5.0</v>
      </c>
      <c r="I22" s="6">
        <v>4.0</v>
      </c>
      <c r="J22" s="6">
        <v>1.0</v>
      </c>
      <c r="K22" s="6">
        <v>4.0</v>
      </c>
      <c r="L22" s="8"/>
      <c r="M22" s="6">
        <v>4.0</v>
      </c>
      <c r="N22" s="6">
        <v>5.0</v>
      </c>
      <c r="O22" s="6">
        <v>5.0</v>
      </c>
      <c r="P22" s="6">
        <v>9.0</v>
      </c>
      <c r="Q22" s="8"/>
      <c r="R22" s="8"/>
    </row>
    <row r="23" ht="22.5" customHeight="1">
      <c r="A23" s="11">
        <v>45996.60924553241</v>
      </c>
      <c r="B23" s="12" t="s">
        <v>18</v>
      </c>
      <c r="C23" s="13">
        <v>45996.0</v>
      </c>
      <c r="D23" s="12" t="s">
        <v>30</v>
      </c>
      <c r="E23" s="12" t="s">
        <v>38</v>
      </c>
      <c r="F23" s="12" t="s">
        <v>21</v>
      </c>
      <c r="G23" s="12" t="s">
        <v>52</v>
      </c>
      <c r="H23" s="12">
        <v>5.0</v>
      </c>
      <c r="I23" s="12">
        <v>5.0</v>
      </c>
      <c r="J23" s="12">
        <v>5.0</v>
      </c>
      <c r="K23" s="12">
        <v>5.0</v>
      </c>
      <c r="L23" s="12">
        <v>5.0</v>
      </c>
      <c r="M23" s="12">
        <v>5.0</v>
      </c>
      <c r="N23" s="12">
        <v>5.0</v>
      </c>
      <c r="O23" s="12">
        <v>5.0</v>
      </c>
      <c r="P23" s="12">
        <v>10.0</v>
      </c>
    </row>
    <row r="24" ht="22.5" customHeight="1">
      <c r="A24" s="11">
        <v>45996.60956377315</v>
      </c>
      <c r="B24" s="12" t="s">
        <v>18</v>
      </c>
      <c r="C24" s="13">
        <v>45996.0</v>
      </c>
      <c r="D24" s="12" t="s">
        <v>30</v>
      </c>
      <c r="E24" s="12" t="s">
        <v>53</v>
      </c>
      <c r="F24" s="12" t="s">
        <v>21</v>
      </c>
      <c r="G24" s="12" t="s">
        <v>39</v>
      </c>
      <c r="H24" s="12">
        <v>5.0</v>
      </c>
      <c r="I24" s="12">
        <v>5.0</v>
      </c>
      <c r="J24" s="12">
        <v>5.0</v>
      </c>
      <c r="K24" s="12">
        <v>5.0</v>
      </c>
      <c r="L24" s="12">
        <v>5.0</v>
      </c>
      <c r="M24" s="12">
        <v>5.0</v>
      </c>
      <c r="N24" s="12">
        <v>5.0</v>
      </c>
      <c r="O24" s="12">
        <v>5.0</v>
      </c>
      <c r="P24" s="12">
        <v>10.0</v>
      </c>
    </row>
    <row r="25" ht="22.5" customHeight="1">
      <c r="A25" s="11">
        <v>45996.609659699076</v>
      </c>
      <c r="B25" s="12" t="s">
        <v>18</v>
      </c>
      <c r="C25" s="13">
        <v>45996.0</v>
      </c>
      <c r="D25" s="12" t="s">
        <v>30</v>
      </c>
      <c r="E25" s="12" t="s">
        <v>54</v>
      </c>
      <c r="F25" s="12" t="s">
        <v>21</v>
      </c>
      <c r="G25" s="12" t="s">
        <v>39</v>
      </c>
      <c r="H25" s="12">
        <v>5.0</v>
      </c>
      <c r="I25" s="12">
        <v>5.0</v>
      </c>
      <c r="J25" s="12">
        <v>5.0</v>
      </c>
      <c r="K25" s="12">
        <v>5.0</v>
      </c>
      <c r="L25" s="12">
        <v>5.0</v>
      </c>
      <c r="M25" s="12">
        <v>5.0</v>
      </c>
      <c r="N25" s="12">
        <v>5.0</v>
      </c>
      <c r="O25" s="12">
        <v>5.0</v>
      </c>
      <c r="P25" s="12">
        <v>10.0</v>
      </c>
      <c r="Q25" s="12" t="s">
        <v>24</v>
      </c>
      <c r="R25" s="12" t="s">
        <v>24</v>
      </c>
    </row>
    <row r="26" ht="22.5" customHeight="1">
      <c r="A26" s="11">
        <v>45996.60966952547</v>
      </c>
      <c r="B26" s="12" t="s">
        <v>18</v>
      </c>
      <c r="C26" s="13">
        <v>45996.0</v>
      </c>
      <c r="D26" s="12" t="s">
        <v>30</v>
      </c>
      <c r="E26" s="12" t="s">
        <v>55</v>
      </c>
      <c r="F26" s="12" t="s">
        <v>27</v>
      </c>
      <c r="G26" s="12" t="s">
        <v>22</v>
      </c>
      <c r="H26" s="12">
        <v>5.0</v>
      </c>
      <c r="I26" s="12">
        <v>5.0</v>
      </c>
      <c r="J26" s="12">
        <v>5.0</v>
      </c>
      <c r="K26" s="12">
        <v>5.0</v>
      </c>
      <c r="L26" s="12">
        <v>5.0</v>
      </c>
      <c r="M26" s="12">
        <v>5.0</v>
      </c>
      <c r="N26" s="12">
        <v>5.0</v>
      </c>
      <c r="O26" s="12">
        <v>5.0</v>
      </c>
      <c r="P26" s="12">
        <v>10.0</v>
      </c>
    </row>
    <row r="27" ht="22.5" customHeight="1">
      <c r="A27" s="11">
        <v>45996.60979565972</v>
      </c>
      <c r="B27" s="12" t="s">
        <v>18</v>
      </c>
      <c r="C27" s="13">
        <v>45996.0</v>
      </c>
      <c r="D27" s="12" t="s">
        <v>30</v>
      </c>
      <c r="E27" s="12" t="s">
        <v>56</v>
      </c>
      <c r="F27" s="12" t="s">
        <v>21</v>
      </c>
      <c r="G27" s="12" t="s">
        <v>39</v>
      </c>
      <c r="H27" s="12">
        <v>5.0</v>
      </c>
      <c r="I27" s="12">
        <v>5.0</v>
      </c>
      <c r="J27" s="12">
        <v>4.0</v>
      </c>
      <c r="K27" s="12">
        <v>5.0</v>
      </c>
      <c r="L27" s="12">
        <v>5.0</v>
      </c>
      <c r="M27" s="12">
        <v>5.0</v>
      </c>
      <c r="N27" s="12">
        <v>5.0</v>
      </c>
      <c r="O27" s="12">
        <v>5.0</v>
      </c>
      <c r="P27" s="12">
        <v>10.0</v>
      </c>
    </row>
    <row r="28" ht="22.5" customHeight="1">
      <c r="A28" s="11">
        <v>45996.61008233797</v>
      </c>
      <c r="B28" s="12" t="s">
        <v>18</v>
      </c>
      <c r="C28" s="13">
        <v>45996.0</v>
      </c>
      <c r="D28" s="12" t="s">
        <v>30</v>
      </c>
      <c r="E28" s="12" t="s">
        <v>57</v>
      </c>
      <c r="F28" s="12" t="s">
        <v>21</v>
      </c>
      <c r="G28" s="12" t="s">
        <v>36</v>
      </c>
      <c r="H28" s="12">
        <v>5.0</v>
      </c>
      <c r="I28" s="12">
        <v>5.0</v>
      </c>
      <c r="J28" s="12">
        <v>5.0</v>
      </c>
      <c r="K28" s="12">
        <v>5.0</v>
      </c>
      <c r="L28" s="12">
        <v>5.0</v>
      </c>
      <c r="M28" s="12">
        <v>5.0</v>
      </c>
      <c r="N28" s="12">
        <v>5.0</v>
      </c>
      <c r="O28" s="12">
        <v>5.0</v>
      </c>
      <c r="P28" s="12">
        <v>8.0</v>
      </c>
    </row>
    <row r="29" ht="22.5" customHeight="1">
      <c r="A29" s="11">
        <v>45996.61008539352</v>
      </c>
      <c r="B29" s="12" t="s">
        <v>18</v>
      </c>
      <c r="C29" s="13">
        <v>45996.0</v>
      </c>
      <c r="D29" s="12" t="s">
        <v>30</v>
      </c>
      <c r="E29" s="12" t="s">
        <v>58</v>
      </c>
      <c r="F29" s="12" t="s">
        <v>21</v>
      </c>
      <c r="G29" s="12" t="s">
        <v>22</v>
      </c>
      <c r="H29" s="12">
        <v>4.0</v>
      </c>
      <c r="I29" s="12">
        <v>4.0</v>
      </c>
      <c r="J29" s="12">
        <v>4.0</v>
      </c>
      <c r="K29" s="12">
        <v>4.0</v>
      </c>
      <c r="L29" s="12">
        <v>4.0</v>
      </c>
      <c r="M29" s="12">
        <v>4.0</v>
      </c>
      <c r="N29" s="12">
        <v>4.0</v>
      </c>
      <c r="O29" s="12">
        <v>4.0</v>
      </c>
      <c r="P29" s="12">
        <v>7.0</v>
      </c>
    </row>
    <row r="30" ht="22.5" customHeight="1">
      <c r="A30" s="11">
        <v>45996.610133124996</v>
      </c>
      <c r="B30" s="12" t="s">
        <v>18</v>
      </c>
      <c r="C30" s="13">
        <v>45996.0</v>
      </c>
      <c r="D30" s="12" t="s">
        <v>30</v>
      </c>
      <c r="E30" s="12" t="s">
        <v>59</v>
      </c>
      <c r="F30" s="12" t="s">
        <v>21</v>
      </c>
      <c r="G30" s="12" t="s">
        <v>39</v>
      </c>
      <c r="H30" s="12">
        <v>5.0</v>
      </c>
      <c r="I30" s="12">
        <v>5.0</v>
      </c>
      <c r="J30" s="12">
        <v>5.0</v>
      </c>
      <c r="K30" s="12">
        <v>5.0</v>
      </c>
      <c r="N30" s="12">
        <v>5.0</v>
      </c>
      <c r="O30" s="12">
        <v>5.0</v>
      </c>
      <c r="P30" s="12">
        <v>10.0</v>
      </c>
      <c r="Q30" s="12" t="s">
        <v>60</v>
      </c>
    </row>
    <row r="31" ht="22.5" customHeight="1">
      <c r="A31" s="11">
        <v>45996.61013990741</v>
      </c>
      <c r="B31" s="12" t="s">
        <v>18</v>
      </c>
      <c r="C31" s="13">
        <v>45996.0</v>
      </c>
      <c r="D31" s="12" t="s">
        <v>30</v>
      </c>
      <c r="E31" s="12" t="s">
        <v>57</v>
      </c>
      <c r="F31" s="12" t="s">
        <v>21</v>
      </c>
      <c r="G31" s="12" t="s">
        <v>36</v>
      </c>
      <c r="H31" s="12">
        <v>5.0</v>
      </c>
      <c r="I31" s="12">
        <v>5.0</v>
      </c>
      <c r="J31" s="12">
        <v>5.0</v>
      </c>
      <c r="K31" s="12">
        <v>5.0</v>
      </c>
      <c r="L31" s="12">
        <v>5.0</v>
      </c>
      <c r="M31" s="12">
        <v>5.0</v>
      </c>
      <c r="N31" s="12">
        <v>5.0</v>
      </c>
      <c r="O31" s="12">
        <v>5.0</v>
      </c>
      <c r="P31" s="12">
        <v>10.0</v>
      </c>
      <c r="Q31" s="12" t="s">
        <v>37</v>
      </c>
      <c r="R31" s="12" t="s">
        <v>37</v>
      </c>
    </row>
    <row r="32" ht="22.5" customHeight="1">
      <c r="A32" s="11">
        <v>45996.61017274305</v>
      </c>
      <c r="B32" s="12" t="s">
        <v>18</v>
      </c>
      <c r="C32" s="13">
        <v>45996.0</v>
      </c>
      <c r="D32" s="12" t="s">
        <v>30</v>
      </c>
      <c r="F32" s="12" t="s">
        <v>21</v>
      </c>
      <c r="G32" s="12" t="s">
        <v>22</v>
      </c>
      <c r="H32" s="12">
        <v>5.0</v>
      </c>
      <c r="I32" s="12">
        <v>5.0</v>
      </c>
      <c r="J32" s="12">
        <v>5.0</v>
      </c>
      <c r="K32" s="12">
        <v>5.0</v>
      </c>
      <c r="L32" s="12">
        <v>5.0</v>
      </c>
      <c r="M32" s="12">
        <v>3.0</v>
      </c>
      <c r="N32" s="12">
        <v>5.0</v>
      </c>
      <c r="O32" s="12">
        <v>5.0</v>
      </c>
      <c r="P32" s="12">
        <v>7.0</v>
      </c>
    </row>
    <row r="33" ht="22.5" customHeight="1">
      <c r="A33" s="11">
        <v>45996.610331655094</v>
      </c>
      <c r="B33" s="12" t="s">
        <v>18</v>
      </c>
      <c r="C33" s="13">
        <v>45996.0</v>
      </c>
      <c r="D33" s="12" t="s">
        <v>30</v>
      </c>
      <c r="E33" s="12" t="s">
        <v>61</v>
      </c>
      <c r="F33" s="12" t="s">
        <v>21</v>
      </c>
      <c r="G33" s="12" t="s">
        <v>62</v>
      </c>
      <c r="H33" s="12">
        <v>5.0</v>
      </c>
      <c r="I33" s="12">
        <v>5.0</v>
      </c>
      <c r="J33" s="12">
        <v>5.0</v>
      </c>
      <c r="K33" s="12">
        <v>5.0</v>
      </c>
      <c r="L33" s="12">
        <v>5.0</v>
      </c>
      <c r="M33" s="12">
        <v>5.0</v>
      </c>
      <c r="N33" s="12">
        <v>5.0</v>
      </c>
      <c r="O33" s="12">
        <v>5.0</v>
      </c>
      <c r="P33" s="12">
        <v>10.0</v>
      </c>
      <c r="Q33" s="12" t="s">
        <v>24</v>
      </c>
      <c r="R33" s="12" t="s">
        <v>24</v>
      </c>
    </row>
    <row r="34" ht="22.5" customHeight="1">
      <c r="A34" s="11">
        <v>45996.6104562963</v>
      </c>
      <c r="B34" s="12" t="s">
        <v>18</v>
      </c>
      <c r="C34" s="13">
        <v>45996.0</v>
      </c>
      <c r="D34" s="12" t="s">
        <v>30</v>
      </c>
      <c r="E34" s="12" t="s">
        <v>63</v>
      </c>
      <c r="F34" s="12" t="s">
        <v>27</v>
      </c>
      <c r="G34" s="12" t="s">
        <v>39</v>
      </c>
      <c r="K34" s="12">
        <v>5.0</v>
      </c>
      <c r="L34" s="12">
        <v>1.0</v>
      </c>
      <c r="M34" s="12">
        <v>3.0</v>
      </c>
      <c r="N34" s="12">
        <v>5.0</v>
      </c>
      <c r="O34" s="12">
        <v>5.0</v>
      </c>
      <c r="P34" s="12">
        <v>7.0</v>
      </c>
    </row>
    <row r="35" ht="22.5" customHeight="1">
      <c r="A35" s="11">
        <v>45996.610464259255</v>
      </c>
      <c r="B35" s="12" t="s">
        <v>18</v>
      </c>
      <c r="C35" s="13">
        <v>45996.0</v>
      </c>
      <c r="D35" s="12" t="s">
        <v>30</v>
      </c>
      <c r="E35" s="12" t="s">
        <v>64</v>
      </c>
      <c r="F35" s="12" t="s">
        <v>27</v>
      </c>
      <c r="G35" s="12" t="s">
        <v>22</v>
      </c>
      <c r="H35" s="12">
        <v>5.0</v>
      </c>
      <c r="I35" s="12">
        <v>5.0</v>
      </c>
      <c r="J35" s="12">
        <v>5.0</v>
      </c>
      <c r="K35" s="12">
        <v>5.0</v>
      </c>
      <c r="L35" s="12">
        <v>5.0</v>
      </c>
      <c r="M35" s="12">
        <v>5.0</v>
      </c>
      <c r="N35" s="12">
        <v>5.0</v>
      </c>
      <c r="O35" s="12">
        <v>5.0</v>
      </c>
      <c r="P35" s="12">
        <v>10.0</v>
      </c>
    </row>
    <row r="36" ht="22.5" customHeight="1">
      <c r="A36" s="11">
        <v>45996.6120481713</v>
      </c>
      <c r="B36" s="12" t="s">
        <v>18</v>
      </c>
      <c r="C36" s="13">
        <v>45996.0</v>
      </c>
      <c r="D36" s="12" t="s">
        <v>30</v>
      </c>
      <c r="E36" s="12" t="s">
        <v>65</v>
      </c>
      <c r="F36" s="12" t="s">
        <v>21</v>
      </c>
      <c r="G36" s="12" t="s">
        <v>39</v>
      </c>
      <c r="H36" s="12">
        <v>5.0</v>
      </c>
      <c r="I36" s="12">
        <v>5.0</v>
      </c>
      <c r="J36" s="12">
        <v>5.0</v>
      </c>
      <c r="K36" s="12">
        <v>5.0</v>
      </c>
      <c r="L36" s="12">
        <v>5.0</v>
      </c>
      <c r="M36" s="12">
        <v>5.0</v>
      </c>
      <c r="N36" s="12">
        <v>5.0</v>
      </c>
      <c r="O36" s="12">
        <v>5.0</v>
      </c>
      <c r="P36" s="12">
        <v>10.0</v>
      </c>
      <c r="Q36" s="12" t="s">
        <v>66</v>
      </c>
    </row>
    <row r="37" ht="22.5" customHeight="1">
      <c r="A37" s="11">
        <v>45996.61252681713</v>
      </c>
      <c r="B37" s="12" t="s">
        <v>18</v>
      </c>
      <c r="C37" s="13">
        <v>45996.0</v>
      </c>
      <c r="D37" s="12" t="s">
        <v>30</v>
      </c>
      <c r="E37" s="12" t="s">
        <v>25</v>
      </c>
      <c r="F37" s="12" t="s">
        <v>27</v>
      </c>
      <c r="G37" s="12" t="s">
        <v>22</v>
      </c>
      <c r="H37" s="12">
        <v>5.0</v>
      </c>
      <c r="I37" s="12">
        <v>5.0</v>
      </c>
      <c r="J37" s="12">
        <v>5.0</v>
      </c>
      <c r="K37" s="12">
        <v>5.0</v>
      </c>
      <c r="L37" s="12">
        <v>5.0</v>
      </c>
      <c r="M37" s="12">
        <v>5.0</v>
      </c>
      <c r="N37" s="12">
        <v>5.0</v>
      </c>
      <c r="O37" s="12">
        <v>5.0</v>
      </c>
      <c r="P37" s="12">
        <v>10.0</v>
      </c>
    </row>
    <row r="38" ht="22.5" customHeight="1">
      <c r="A38" s="11">
        <v>45996.61283237269</v>
      </c>
      <c r="B38" s="12" t="s">
        <v>18</v>
      </c>
      <c r="C38" s="13">
        <v>45996.0</v>
      </c>
      <c r="D38" s="12" t="s">
        <v>30</v>
      </c>
      <c r="E38" s="12" t="s">
        <v>67</v>
      </c>
      <c r="F38" s="12" t="s">
        <v>21</v>
      </c>
      <c r="G38" s="12" t="s">
        <v>68</v>
      </c>
      <c r="H38" s="12">
        <v>5.0</v>
      </c>
      <c r="I38" s="12">
        <v>5.0</v>
      </c>
      <c r="J38" s="12">
        <v>5.0</v>
      </c>
      <c r="K38" s="12">
        <v>5.0</v>
      </c>
      <c r="L38" s="12">
        <v>5.0</v>
      </c>
      <c r="M38" s="12">
        <v>5.0</v>
      </c>
      <c r="N38" s="12">
        <v>5.0</v>
      </c>
      <c r="O38" s="12">
        <v>5.0</v>
      </c>
      <c r="P38" s="12">
        <v>10.0</v>
      </c>
      <c r="Q38" s="12" t="s">
        <v>23</v>
      </c>
      <c r="R38" s="12" t="s">
        <v>69</v>
      </c>
    </row>
    <row r="39" ht="22.5" customHeight="1">
      <c r="A39" s="11">
        <v>45996.63052040509</v>
      </c>
      <c r="B39" s="12" t="s">
        <v>18</v>
      </c>
      <c r="C39" s="13">
        <v>45996.0</v>
      </c>
      <c r="D39" s="12" t="s">
        <v>30</v>
      </c>
      <c r="E39" s="12" t="s">
        <v>70</v>
      </c>
      <c r="F39" s="12" t="s">
        <v>27</v>
      </c>
      <c r="G39" s="12" t="s">
        <v>39</v>
      </c>
      <c r="H39" s="12">
        <v>4.0</v>
      </c>
      <c r="I39" s="12">
        <v>4.0</v>
      </c>
      <c r="J39" s="12">
        <v>4.0</v>
      </c>
      <c r="K39" s="12">
        <v>4.0</v>
      </c>
      <c r="L39" s="12">
        <v>5.0</v>
      </c>
      <c r="M39" s="12">
        <v>5.0</v>
      </c>
      <c r="N39" s="12">
        <v>5.0</v>
      </c>
      <c r="O39" s="12">
        <v>5.0</v>
      </c>
      <c r="P39" s="12">
        <v>8.0</v>
      </c>
      <c r="Q39" s="12" t="s">
        <v>71</v>
      </c>
      <c r="R39" s="12" t="s">
        <v>72</v>
      </c>
    </row>
    <row r="40" ht="22.5" customHeight="1">
      <c r="A40" s="11">
        <v>45996.632203472225</v>
      </c>
      <c r="B40" s="12" t="s">
        <v>18</v>
      </c>
      <c r="C40" s="13">
        <v>45996.0</v>
      </c>
      <c r="D40" s="12" t="s">
        <v>30</v>
      </c>
      <c r="E40" s="12" t="s">
        <v>73</v>
      </c>
      <c r="F40" s="12" t="s">
        <v>21</v>
      </c>
      <c r="G40" s="12" t="s">
        <v>74</v>
      </c>
      <c r="H40" s="12">
        <v>4.0</v>
      </c>
      <c r="I40" s="12">
        <v>4.0</v>
      </c>
      <c r="J40" s="12">
        <v>4.0</v>
      </c>
      <c r="K40" s="12">
        <v>4.0</v>
      </c>
      <c r="M40" s="12">
        <v>4.0</v>
      </c>
      <c r="N40" s="12">
        <v>4.0</v>
      </c>
      <c r="O40" s="12">
        <v>3.0</v>
      </c>
      <c r="P40" s="12">
        <v>7.0</v>
      </c>
    </row>
    <row r="41" ht="22.5" customHeight="1">
      <c r="A41" s="11">
        <v>45996.6416893287</v>
      </c>
      <c r="B41" s="12" t="s">
        <v>18</v>
      </c>
      <c r="C41" s="13">
        <v>45996.0</v>
      </c>
      <c r="D41" s="12" t="s">
        <v>30</v>
      </c>
      <c r="F41" s="12" t="s">
        <v>21</v>
      </c>
      <c r="G41" s="12" t="s">
        <v>39</v>
      </c>
      <c r="H41" s="12">
        <v>5.0</v>
      </c>
      <c r="I41" s="12">
        <v>5.0</v>
      </c>
      <c r="J41" s="12">
        <v>5.0</v>
      </c>
      <c r="K41" s="12">
        <v>5.0</v>
      </c>
      <c r="L41" s="12">
        <v>5.0</v>
      </c>
      <c r="M41" s="12">
        <v>5.0</v>
      </c>
      <c r="N41" s="12">
        <v>5.0</v>
      </c>
      <c r="O41" s="12">
        <v>5.0</v>
      </c>
      <c r="P41" s="12">
        <v>8.0</v>
      </c>
    </row>
    <row r="42" ht="22.5" customHeight="1">
      <c r="A42" s="11">
        <v>45996.65680778935</v>
      </c>
      <c r="B42" s="12" t="s">
        <v>18</v>
      </c>
      <c r="C42" s="13">
        <v>45996.0</v>
      </c>
      <c r="D42" s="12" t="s">
        <v>30</v>
      </c>
      <c r="E42" s="12" t="s">
        <v>25</v>
      </c>
      <c r="F42" s="12" t="s">
        <v>27</v>
      </c>
      <c r="G42" s="12" t="s">
        <v>22</v>
      </c>
      <c r="H42" s="12">
        <v>5.0</v>
      </c>
      <c r="I42" s="12">
        <v>4.0</v>
      </c>
      <c r="J42" s="12">
        <v>4.0</v>
      </c>
      <c r="K42" s="12">
        <v>4.0</v>
      </c>
      <c r="L42" s="12">
        <v>4.0</v>
      </c>
      <c r="M42" s="12">
        <v>4.0</v>
      </c>
      <c r="N42" s="12">
        <v>4.0</v>
      </c>
      <c r="O42" s="12">
        <v>4.0</v>
      </c>
      <c r="P42" s="12">
        <v>8.0</v>
      </c>
    </row>
    <row r="43" ht="22.5" customHeight="1">
      <c r="A43" s="11">
        <v>45996.65776787037</v>
      </c>
      <c r="B43" s="12" t="s">
        <v>18</v>
      </c>
      <c r="C43" s="13">
        <v>45996.0</v>
      </c>
      <c r="D43" s="12" t="s">
        <v>30</v>
      </c>
      <c r="E43" s="12" t="s">
        <v>25</v>
      </c>
      <c r="F43" s="12" t="s">
        <v>27</v>
      </c>
      <c r="G43" s="12" t="s">
        <v>22</v>
      </c>
      <c r="H43" s="12">
        <v>4.0</v>
      </c>
      <c r="I43" s="12">
        <v>4.0</v>
      </c>
      <c r="J43" s="12">
        <v>4.0</v>
      </c>
      <c r="K43" s="12">
        <v>4.0</v>
      </c>
      <c r="L43" s="12">
        <v>4.0</v>
      </c>
      <c r="M43" s="12">
        <v>5.0</v>
      </c>
      <c r="N43" s="12">
        <v>4.0</v>
      </c>
      <c r="O43" s="12">
        <v>4.0</v>
      </c>
      <c r="P43" s="12">
        <v>9.0</v>
      </c>
      <c r="Q43" s="12" t="s">
        <v>75</v>
      </c>
      <c r="R43" s="12" t="s">
        <v>76</v>
      </c>
    </row>
    <row r="44" ht="22.5" customHeight="1">
      <c r="A44" s="11">
        <v>45996.67015987269</v>
      </c>
      <c r="B44" s="12" t="s">
        <v>18</v>
      </c>
      <c r="C44" s="13">
        <v>45996.0</v>
      </c>
      <c r="D44" s="12" t="s">
        <v>30</v>
      </c>
      <c r="F44" s="12" t="s">
        <v>21</v>
      </c>
      <c r="G44" s="12" t="s">
        <v>77</v>
      </c>
      <c r="H44" s="12">
        <v>5.0</v>
      </c>
      <c r="I44" s="12">
        <v>5.0</v>
      </c>
      <c r="J44" s="12">
        <v>5.0</v>
      </c>
      <c r="K44" s="12">
        <v>5.0</v>
      </c>
      <c r="L44" s="12">
        <v>5.0</v>
      </c>
      <c r="M44" s="12">
        <v>5.0</v>
      </c>
      <c r="N44" s="12">
        <v>5.0</v>
      </c>
      <c r="O44" s="12">
        <v>5.0</v>
      </c>
      <c r="P44" s="12">
        <v>10.0</v>
      </c>
    </row>
    <row r="45" ht="22.5" customHeight="1">
      <c r="A45" s="11">
        <v>46219.43992130787</v>
      </c>
      <c r="B45" s="12" t="s">
        <v>18</v>
      </c>
      <c r="C45" s="13">
        <v>46034.0</v>
      </c>
      <c r="D45" s="12" t="s">
        <v>19</v>
      </c>
      <c r="E45" s="12" t="s">
        <v>78</v>
      </c>
      <c r="F45" s="12" t="s">
        <v>27</v>
      </c>
      <c r="G45" s="12" t="s">
        <v>46</v>
      </c>
      <c r="H45" s="12">
        <v>5.0</v>
      </c>
      <c r="I45" s="12">
        <v>5.0</v>
      </c>
      <c r="J45" s="12">
        <v>5.0</v>
      </c>
      <c r="K45" s="12">
        <v>5.0</v>
      </c>
      <c r="M45" s="12">
        <v>5.0</v>
      </c>
      <c r="N45" s="12">
        <v>5.0</v>
      </c>
      <c r="O45" s="12">
        <v>5.0</v>
      </c>
      <c r="P45" s="12">
        <v>10.0</v>
      </c>
    </row>
    <row r="46" ht="22.5" customHeight="1">
      <c r="A46" s="11">
        <v>46219.4415896875</v>
      </c>
      <c r="B46" s="12" t="s">
        <v>18</v>
      </c>
      <c r="C46" s="13">
        <v>46034.0</v>
      </c>
      <c r="D46" s="12" t="s">
        <v>30</v>
      </c>
      <c r="E46" s="12" t="s">
        <v>38</v>
      </c>
      <c r="F46" s="12" t="s">
        <v>21</v>
      </c>
      <c r="G46" s="12" t="s">
        <v>46</v>
      </c>
      <c r="H46" s="12">
        <v>4.0</v>
      </c>
      <c r="I46" s="12">
        <v>5.0</v>
      </c>
      <c r="J46" s="12">
        <v>5.0</v>
      </c>
      <c r="K46" s="12">
        <v>5.0</v>
      </c>
      <c r="M46" s="12">
        <v>4.0</v>
      </c>
      <c r="N46" s="12">
        <v>5.0</v>
      </c>
      <c r="O46" s="12">
        <v>5.0</v>
      </c>
      <c r="P46" s="12">
        <v>9.0</v>
      </c>
    </row>
    <row r="47" ht="22.5" customHeight="1">
      <c r="A47" s="11">
        <v>46219.44616550926</v>
      </c>
      <c r="B47" s="12" t="s">
        <v>18</v>
      </c>
      <c r="C47" s="13">
        <v>46037.0</v>
      </c>
      <c r="D47" s="12" t="s">
        <v>30</v>
      </c>
      <c r="F47" s="12" t="s">
        <v>21</v>
      </c>
      <c r="G47" s="12" t="s">
        <v>46</v>
      </c>
      <c r="H47" s="12">
        <v>5.0</v>
      </c>
      <c r="I47" s="12">
        <v>4.0</v>
      </c>
      <c r="J47" s="12">
        <v>4.0</v>
      </c>
      <c r="K47" s="12">
        <v>5.0</v>
      </c>
      <c r="M47" s="12">
        <v>5.0</v>
      </c>
      <c r="N47" s="12">
        <v>5.0</v>
      </c>
      <c r="O47" s="12">
        <v>5.0</v>
      </c>
      <c r="P47" s="12">
        <v>9.0</v>
      </c>
    </row>
    <row r="48" ht="22.5" customHeight="1">
      <c r="A48" s="11">
        <v>46219.44673293982</v>
      </c>
      <c r="B48" s="12" t="s">
        <v>18</v>
      </c>
      <c r="C48" s="13">
        <v>46035.0</v>
      </c>
      <c r="D48" s="12" t="s">
        <v>19</v>
      </c>
      <c r="E48" s="12" t="s">
        <v>38</v>
      </c>
      <c r="F48" s="12" t="s">
        <v>21</v>
      </c>
      <c r="G48" s="12" t="s">
        <v>79</v>
      </c>
      <c r="H48" s="12">
        <v>4.0</v>
      </c>
      <c r="I48" s="12">
        <v>5.0</v>
      </c>
      <c r="J48" s="12">
        <v>5.0</v>
      </c>
      <c r="K48" s="12">
        <v>5.0</v>
      </c>
      <c r="M48" s="12">
        <v>5.0</v>
      </c>
      <c r="N48" s="12">
        <v>5.0</v>
      </c>
      <c r="O48" s="12">
        <v>5.0</v>
      </c>
      <c r="P48" s="12">
        <v>10.0</v>
      </c>
    </row>
    <row r="49" ht="22.5" customHeight="1">
      <c r="A49" s="11">
        <v>46219.44731028935</v>
      </c>
      <c r="B49" s="12" t="s">
        <v>18</v>
      </c>
      <c r="C49" s="13">
        <v>46041.0</v>
      </c>
      <c r="D49" s="12" t="s">
        <v>19</v>
      </c>
      <c r="E49" s="12" t="s">
        <v>38</v>
      </c>
      <c r="F49" s="12" t="s">
        <v>21</v>
      </c>
      <c r="G49" s="12" t="s">
        <v>79</v>
      </c>
      <c r="H49" s="12">
        <v>4.0</v>
      </c>
      <c r="I49" s="12">
        <v>4.0</v>
      </c>
      <c r="J49" s="12">
        <v>4.0</v>
      </c>
      <c r="K49" s="12">
        <v>4.0</v>
      </c>
      <c r="M49" s="12">
        <v>5.0</v>
      </c>
      <c r="N49" s="12">
        <v>5.0</v>
      </c>
      <c r="O49" s="12">
        <v>4.0</v>
      </c>
      <c r="P49" s="12">
        <v>9.0</v>
      </c>
    </row>
    <row r="50" ht="22.5" customHeight="1">
      <c r="A50" s="11">
        <v>46219.45081026621</v>
      </c>
      <c r="B50" s="12" t="s">
        <v>18</v>
      </c>
      <c r="C50" s="13">
        <v>46042.0</v>
      </c>
      <c r="D50" s="12" t="s">
        <v>19</v>
      </c>
      <c r="E50" s="12" t="s">
        <v>20</v>
      </c>
      <c r="F50" s="12" t="s">
        <v>80</v>
      </c>
      <c r="G50" s="12" t="s">
        <v>81</v>
      </c>
      <c r="H50" s="12">
        <v>5.0</v>
      </c>
      <c r="I50" s="12">
        <v>5.0</v>
      </c>
      <c r="J50" s="12">
        <v>5.0</v>
      </c>
      <c r="K50" s="12">
        <v>5.0</v>
      </c>
      <c r="M50" s="12">
        <v>5.0</v>
      </c>
      <c r="N50" s="12">
        <v>5.0</v>
      </c>
      <c r="O50" s="12">
        <v>5.0</v>
      </c>
      <c r="P50" s="12">
        <v>10.0</v>
      </c>
      <c r="Q50" s="12" t="s">
        <v>82</v>
      </c>
    </row>
    <row r="51" ht="22.5" customHeight="1">
      <c r="A51" s="11">
        <v>46219.45938006944</v>
      </c>
      <c r="B51" s="12" t="s">
        <v>18</v>
      </c>
      <c r="C51" s="13">
        <v>46042.0</v>
      </c>
      <c r="D51" s="12" t="s">
        <v>19</v>
      </c>
      <c r="F51" s="12" t="s">
        <v>27</v>
      </c>
      <c r="G51" s="12" t="s">
        <v>39</v>
      </c>
      <c r="H51" s="12">
        <v>5.0</v>
      </c>
      <c r="I51" s="12">
        <v>5.0</v>
      </c>
      <c r="J51" s="12">
        <v>5.0</v>
      </c>
      <c r="K51" s="12">
        <v>5.0</v>
      </c>
      <c r="N51" s="12">
        <v>5.0</v>
      </c>
      <c r="O51" s="12">
        <v>5.0</v>
      </c>
      <c r="P51" s="12">
        <v>10.0</v>
      </c>
    </row>
    <row r="52" ht="22.5" customHeight="1">
      <c r="A52" s="11">
        <v>46219.46264002315</v>
      </c>
      <c r="B52" s="12" t="s">
        <v>18</v>
      </c>
      <c r="C52" s="13">
        <v>46069.0</v>
      </c>
      <c r="D52" s="12" t="s">
        <v>30</v>
      </c>
      <c r="F52" s="12" t="s">
        <v>21</v>
      </c>
      <c r="G52" s="12" t="s">
        <v>46</v>
      </c>
      <c r="H52" s="12">
        <v>4.0</v>
      </c>
      <c r="I52" s="12">
        <v>4.0</v>
      </c>
      <c r="J52" s="12">
        <v>5.0</v>
      </c>
      <c r="K52" s="12">
        <v>5.0</v>
      </c>
      <c r="M52" s="12">
        <v>5.0</v>
      </c>
      <c r="N52" s="12">
        <v>5.0</v>
      </c>
      <c r="O52" s="12">
        <v>5.0</v>
      </c>
      <c r="P52" s="12">
        <v>9.0</v>
      </c>
    </row>
    <row r="53" ht="22.5" customHeight="1">
      <c r="A53" s="11">
        <v>46219.46341420139</v>
      </c>
      <c r="B53" s="12" t="s">
        <v>18</v>
      </c>
      <c r="C53" s="13">
        <v>46042.0</v>
      </c>
      <c r="D53" s="12" t="s">
        <v>30</v>
      </c>
      <c r="F53" s="12" t="s">
        <v>21</v>
      </c>
      <c r="G53" s="12" t="s">
        <v>46</v>
      </c>
      <c r="H53" s="12">
        <v>5.0</v>
      </c>
      <c r="I53" s="12">
        <v>5.0</v>
      </c>
      <c r="J53" s="12">
        <v>5.0</v>
      </c>
      <c r="K53" s="12">
        <v>5.0</v>
      </c>
      <c r="M53" s="12">
        <v>5.0</v>
      </c>
      <c r="N53" s="12">
        <v>5.0</v>
      </c>
      <c r="O53" s="12">
        <v>5.0</v>
      </c>
      <c r="P53" s="12">
        <v>10.0</v>
      </c>
    </row>
    <row r="54" ht="22.5" customHeight="1">
      <c r="A54" s="11">
        <v>46219.466102673614</v>
      </c>
      <c r="B54" s="12" t="s">
        <v>18</v>
      </c>
      <c r="C54" s="13">
        <v>46067.0</v>
      </c>
      <c r="D54" s="12" t="s">
        <v>19</v>
      </c>
      <c r="F54" s="12" t="s">
        <v>21</v>
      </c>
      <c r="G54" s="12" t="s">
        <v>46</v>
      </c>
      <c r="H54" s="12">
        <v>5.0</v>
      </c>
      <c r="I54" s="12">
        <v>5.0</v>
      </c>
      <c r="J54" s="12">
        <v>5.0</v>
      </c>
      <c r="K54" s="12">
        <v>5.0</v>
      </c>
      <c r="M54" s="12">
        <v>5.0</v>
      </c>
      <c r="N54" s="12">
        <v>5.0</v>
      </c>
      <c r="O54" s="12">
        <v>5.0</v>
      </c>
      <c r="P54" s="12">
        <v>10.0</v>
      </c>
    </row>
    <row r="55" ht="22.5" customHeight="1">
      <c r="A55" s="11">
        <v>46219.46679533565</v>
      </c>
      <c r="B55" s="12" t="s">
        <v>18</v>
      </c>
      <c r="C55" s="13">
        <v>46043.0</v>
      </c>
      <c r="D55" s="12" t="s">
        <v>19</v>
      </c>
      <c r="E55" s="12" t="s">
        <v>38</v>
      </c>
      <c r="F55" s="12" t="s">
        <v>21</v>
      </c>
      <c r="G55" s="12" t="s">
        <v>46</v>
      </c>
      <c r="H55" s="12">
        <v>5.0</v>
      </c>
      <c r="I55" s="12">
        <v>4.0</v>
      </c>
      <c r="J55" s="12">
        <v>4.0</v>
      </c>
      <c r="M55" s="12">
        <v>5.0</v>
      </c>
      <c r="N55" s="12">
        <v>5.0</v>
      </c>
      <c r="O55" s="12">
        <v>5.0</v>
      </c>
      <c r="P55" s="12">
        <v>9.0</v>
      </c>
    </row>
    <row r="56" ht="22.5" customHeight="1">
      <c r="A56" s="11">
        <v>46219.474538043985</v>
      </c>
      <c r="B56" s="12" t="s">
        <v>18</v>
      </c>
      <c r="C56" s="13">
        <v>46050.0</v>
      </c>
      <c r="D56" s="12" t="s">
        <v>19</v>
      </c>
      <c r="F56" s="12" t="s">
        <v>21</v>
      </c>
      <c r="G56" s="12" t="s">
        <v>46</v>
      </c>
      <c r="H56" s="12">
        <v>5.0</v>
      </c>
      <c r="I56" s="12">
        <v>5.0</v>
      </c>
      <c r="J56" s="12">
        <v>5.0</v>
      </c>
      <c r="M56" s="12">
        <v>5.0</v>
      </c>
      <c r="N56" s="12">
        <v>5.0</v>
      </c>
      <c r="O56" s="12">
        <v>5.0</v>
      </c>
      <c r="P56" s="12">
        <v>10.0</v>
      </c>
    </row>
    <row r="57" ht="22.5" customHeight="1">
      <c r="A57" s="11">
        <v>46219.47535069444</v>
      </c>
      <c r="B57" s="12" t="s">
        <v>18</v>
      </c>
      <c r="C57" s="13">
        <v>46055.0</v>
      </c>
      <c r="D57" s="12" t="s">
        <v>19</v>
      </c>
      <c r="F57" s="12" t="s">
        <v>21</v>
      </c>
      <c r="G57" s="12" t="s">
        <v>46</v>
      </c>
      <c r="H57" s="12">
        <v>5.0</v>
      </c>
      <c r="I57" s="12">
        <v>4.0</v>
      </c>
      <c r="J57" s="12">
        <v>4.0</v>
      </c>
      <c r="K57" s="12">
        <v>4.0</v>
      </c>
      <c r="M57" s="12">
        <v>5.0</v>
      </c>
      <c r="N57" s="12">
        <v>5.0</v>
      </c>
      <c r="O57" s="12">
        <v>5.0</v>
      </c>
      <c r="P57" s="12">
        <v>10.0</v>
      </c>
    </row>
    <row r="58" ht="22.5" customHeight="1">
      <c r="A58" s="11">
        <v>46219.482560324075</v>
      </c>
      <c r="B58" s="12" t="s">
        <v>18</v>
      </c>
      <c r="C58" s="13">
        <v>46044.0</v>
      </c>
      <c r="D58" s="12" t="s">
        <v>19</v>
      </c>
      <c r="E58" s="12" t="s">
        <v>38</v>
      </c>
      <c r="F58" s="12" t="s">
        <v>21</v>
      </c>
      <c r="G58" s="12" t="s">
        <v>79</v>
      </c>
      <c r="H58" s="12">
        <v>5.0</v>
      </c>
      <c r="J58" s="12">
        <v>5.0</v>
      </c>
      <c r="K58" s="12">
        <v>5.0</v>
      </c>
      <c r="M58" s="12">
        <v>5.0</v>
      </c>
      <c r="N58" s="12">
        <v>5.0</v>
      </c>
      <c r="O58" s="12">
        <v>5.0</v>
      </c>
      <c r="P58" s="12">
        <v>10.0</v>
      </c>
    </row>
    <row r="59" ht="22.5" customHeight="1">
      <c r="A59" s="11">
        <v>46219.486538564815</v>
      </c>
      <c r="B59" s="12" t="s">
        <v>18</v>
      </c>
      <c r="C59" s="13">
        <v>46066.0</v>
      </c>
      <c r="D59" s="12" t="s">
        <v>19</v>
      </c>
      <c r="F59" s="12" t="s">
        <v>21</v>
      </c>
      <c r="G59" s="12" t="s">
        <v>46</v>
      </c>
      <c r="H59" s="12">
        <v>5.0</v>
      </c>
      <c r="I59" s="12">
        <v>5.0</v>
      </c>
      <c r="K59" s="12">
        <v>4.0</v>
      </c>
      <c r="M59" s="12">
        <v>5.0</v>
      </c>
      <c r="N59" s="12">
        <v>5.0</v>
      </c>
      <c r="O59" s="12">
        <v>5.0</v>
      </c>
      <c r="P59" s="12">
        <v>9.0</v>
      </c>
    </row>
    <row r="60" ht="22.5" customHeight="1">
      <c r="A60" s="11">
        <v>46223.37976289351</v>
      </c>
      <c r="B60" s="12" t="s">
        <v>18</v>
      </c>
      <c r="C60" s="13">
        <v>46223.0</v>
      </c>
      <c r="D60" s="12" t="s">
        <v>19</v>
      </c>
      <c r="E60" s="12" t="s">
        <v>83</v>
      </c>
      <c r="F60" s="12" t="s">
        <v>27</v>
      </c>
      <c r="G60" s="12" t="s">
        <v>84</v>
      </c>
      <c r="H60" s="12">
        <v>5.0</v>
      </c>
      <c r="I60" s="12">
        <v>5.0</v>
      </c>
      <c r="J60" s="12">
        <v>5.0</v>
      </c>
      <c r="K60" s="12">
        <v>5.0</v>
      </c>
      <c r="M60" s="12">
        <v>5.0</v>
      </c>
      <c r="N60" s="12">
        <v>5.0</v>
      </c>
      <c r="O60" s="12">
        <v>5.0</v>
      </c>
      <c r="P60" s="12">
        <v>10.0</v>
      </c>
    </row>
    <row r="61" ht="22.5" customHeight="1">
      <c r="A61" s="11">
        <v>46223.47627038194</v>
      </c>
      <c r="B61" s="12" t="s">
        <v>18</v>
      </c>
      <c r="C61" s="13">
        <v>46043.0</v>
      </c>
      <c r="D61" s="12" t="s">
        <v>19</v>
      </c>
      <c r="E61" s="12" t="s">
        <v>83</v>
      </c>
      <c r="F61" s="12" t="s">
        <v>27</v>
      </c>
      <c r="G61" s="12" t="s">
        <v>84</v>
      </c>
      <c r="H61" s="12">
        <v>5.0</v>
      </c>
      <c r="I61" s="12">
        <v>5.0</v>
      </c>
      <c r="J61" s="12">
        <v>5.0</v>
      </c>
      <c r="K61" s="12">
        <v>5.0</v>
      </c>
      <c r="M61" s="12">
        <v>5.0</v>
      </c>
      <c r="N61" s="12">
        <v>5.0</v>
      </c>
      <c r="O61" s="12">
        <v>5.0</v>
      </c>
      <c r="P61" s="12">
        <v>10.0</v>
      </c>
    </row>
    <row r="62" ht="22.5" customHeight="1">
      <c r="A62" s="11">
        <v>46223.47794344908</v>
      </c>
      <c r="B62" s="12" t="s">
        <v>18</v>
      </c>
      <c r="C62" s="13">
        <v>46062.0</v>
      </c>
      <c r="D62" s="12" t="s">
        <v>30</v>
      </c>
      <c r="E62" s="12" t="s">
        <v>45</v>
      </c>
      <c r="F62" s="12" t="s">
        <v>21</v>
      </c>
      <c r="G62" s="12" t="s">
        <v>84</v>
      </c>
      <c r="H62" s="12">
        <v>5.0</v>
      </c>
      <c r="I62" s="12">
        <v>5.0</v>
      </c>
      <c r="J62" s="12">
        <v>5.0</v>
      </c>
      <c r="K62" s="12">
        <v>5.0</v>
      </c>
      <c r="M62" s="12">
        <v>5.0</v>
      </c>
      <c r="N62" s="12">
        <v>5.0</v>
      </c>
      <c r="O62" s="12">
        <v>5.0</v>
      </c>
      <c r="P62" s="12">
        <v>10.0</v>
      </c>
    </row>
    <row r="63" ht="22.5" customHeight="1">
      <c r="A63" s="11">
        <v>46223.478922685186</v>
      </c>
      <c r="B63" s="12" t="s">
        <v>18</v>
      </c>
      <c r="C63" s="13">
        <v>46070.0</v>
      </c>
      <c r="D63" s="12" t="s">
        <v>85</v>
      </c>
      <c r="E63" s="12" t="s">
        <v>86</v>
      </c>
      <c r="F63" s="12" t="s">
        <v>27</v>
      </c>
      <c r="G63" s="12" t="s">
        <v>87</v>
      </c>
      <c r="H63" s="12">
        <v>5.0</v>
      </c>
      <c r="I63" s="12">
        <v>5.0</v>
      </c>
      <c r="J63" s="12">
        <v>5.0</v>
      </c>
      <c r="K63" s="12">
        <v>5.0</v>
      </c>
      <c r="M63" s="12">
        <v>5.0</v>
      </c>
      <c r="N63" s="12">
        <v>5.0</v>
      </c>
      <c r="O63" s="12">
        <v>5.0</v>
      </c>
      <c r="P63" s="12">
        <v>10.0</v>
      </c>
    </row>
    <row r="64" ht="22.5" customHeight="1">
      <c r="A64" s="11">
        <v>46223.48004015046</v>
      </c>
      <c r="B64" s="12" t="s">
        <v>18</v>
      </c>
      <c r="C64" s="13">
        <v>46066.0</v>
      </c>
      <c r="D64" s="12" t="s">
        <v>19</v>
      </c>
      <c r="E64" s="12" t="s">
        <v>88</v>
      </c>
      <c r="F64" s="12" t="s">
        <v>21</v>
      </c>
      <c r="G64" s="12" t="s">
        <v>84</v>
      </c>
      <c r="H64" s="12">
        <v>5.0</v>
      </c>
      <c r="I64" s="12">
        <v>5.0</v>
      </c>
      <c r="J64" s="12">
        <v>5.0</v>
      </c>
      <c r="K64" s="12">
        <v>5.0</v>
      </c>
      <c r="M64" s="12">
        <v>5.0</v>
      </c>
      <c r="N64" s="12">
        <v>5.0</v>
      </c>
      <c r="O64" s="12">
        <v>5.0</v>
      </c>
      <c r="P64" s="12">
        <v>9.0</v>
      </c>
      <c r="Q64" s="12" t="s">
        <v>89</v>
      </c>
    </row>
    <row r="65" ht="22.5" customHeight="1">
      <c r="A65" s="11">
        <v>46224.398576481486</v>
      </c>
      <c r="B65" s="12" t="s">
        <v>18</v>
      </c>
      <c r="C65" s="13">
        <v>46064.0</v>
      </c>
      <c r="D65" s="12" t="s">
        <v>19</v>
      </c>
      <c r="F65" s="12" t="s">
        <v>27</v>
      </c>
      <c r="G65" s="12" t="s">
        <v>46</v>
      </c>
      <c r="H65" s="12">
        <v>5.0</v>
      </c>
      <c r="I65" s="12">
        <v>4.0</v>
      </c>
      <c r="J65" s="12">
        <v>4.0</v>
      </c>
      <c r="K65" s="12">
        <v>4.0</v>
      </c>
      <c r="M65" s="12">
        <v>5.0</v>
      </c>
      <c r="N65" s="12">
        <v>5.0</v>
      </c>
      <c r="O65" s="12">
        <v>5.0</v>
      </c>
      <c r="P65" s="12">
        <v>9.0</v>
      </c>
    </row>
    <row r="66" ht="22.5" customHeight="1">
      <c r="A66" s="11">
        <v>46224.40111179398</v>
      </c>
      <c r="B66" s="12" t="s">
        <v>18</v>
      </c>
      <c r="C66" s="13">
        <v>46076.0</v>
      </c>
      <c r="D66" s="12" t="s">
        <v>19</v>
      </c>
      <c r="E66" s="12" t="s">
        <v>86</v>
      </c>
      <c r="F66" s="12" t="s">
        <v>21</v>
      </c>
      <c r="G66" s="12" t="s">
        <v>90</v>
      </c>
      <c r="H66" s="12">
        <v>4.0</v>
      </c>
      <c r="I66" s="12">
        <v>3.0</v>
      </c>
      <c r="J66" s="12">
        <v>5.0</v>
      </c>
      <c r="K66" s="12">
        <v>4.0</v>
      </c>
      <c r="M66" s="12">
        <v>5.0</v>
      </c>
      <c r="N66" s="12">
        <v>3.0</v>
      </c>
      <c r="O66" s="12">
        <v>4.0</v>
      </c>
      <c r="P66" s="12">
        <v>10.0</v>
      </c>
    </row>
    <row r="67" ht="22.5" customHeight="1">
      <c r="A67" s="11">
        <v>46224.40199409722</v>
      </c>
      <c r="B67" s="12" t="s">
        <v>18</v>
      </c>
      <c r="C67" s="13">
        <v>46076.0</v>
      </c>
      <c r="D67" s="12" t="s">
        <v>30</v>
      </c>
      <c r="E67" s="12" t="s">
        <v>86</v>
      </c>
      <c r="F67" s="12" t="s">
        <v>80</v>
      </c>
      <c r="G67" s="12" t="s">
        <v>90</v>
      </c>
      <c r="H67" s="12">
        <v>4.0</v>
      </c>
      <c r="I67" s="12">
        <v>5.0</v>
      </c>
      <c r="J67" s="12">
        <v>5.0</v>
      </c>
      <c r="K67" s="12">
        <v>4.0</v>
      </c>
      <c r="M67" s="12">
        <v>5.0</v>
      </c>
      <c r="N67" s="12">
        <v>5.0</v>
      </c>
      <c r="O67" s="12">
        <v>5.0</v>
      </c>
      <c r="P67" s="12">
        <v>9.0</v>
      </c>
    </row>
    <row r="68" ht="22.5" customHeight="1">
      <c r="A68" s="11">
        <v>46224.40250489583</v>
      </c>
      <c r="B68" s="12" t="s">
        <v>18</v>
      </c>
      <c r="C68" s="13">
        <v>46042.0</v>
      </c>
      <c r="D68" s="12" t="s">
        <v>19</v>
      </c>
      <c r="E68" s="12" t="s">
        <v>20</v>
      </c>
      <c r="F68" s="12" t="s">
        <v>21</v>
      </c>
      <c r="G68" s="12" t="s">
        <v>46</v>
      </c>
      <c r="H68" s="12">
        <v>5.0</v>
      </c>
      <c r="I68" s="12">
        <v>5.0</v>
      </c>
      <c r="J68" s="12">
        <v>4.0</v>
      </c>
      <c r="K68" s="12">
        <v>5.0</v>
      </c>
      <c r="M68" s="12">
        <v>4.0</v>
      </c>
      <c r="N68" s="12">
        <v>5.0</v>
      </c>
      <c r="O68" s="12">
        <v>5.0</v>
      </c>
      <c r="P68" s="12">
        <v>10.0</v>
      </c>
    </row>
    <row r="69" ht="22.5" customHeight="1">
      <c r="A69" s="11">
        <v>46224.402638750005</v>
      </c>
      <c r="B69" s="12" t="s">
        <v>18</v>
      </c>
      <c r="C69" s="13">
        <v>46226.0</v>
      </c>
      <c r="D69" s="12" t="s">
        <v>19</v>
      </c>
      <c r="F69" s="12" t="s">
        <v>21</v>
      </c>
      <c r="G69" s="12" t="s">
        <v>90</v>
      </c>
      <c r="H69" s="12">
        <v>3.0</v>
      </c>
      <c r="I69" s="12">
        <v>5.0</v>
      </c>
      <c r="J69" s="12">
        <v>4.0</v>
      </c>
      <c r="K69" s="12">
        <v>4.0</v>
      </c>
      <c r="M69" s="12">
        <v>4.0</v>
      </c>
      <c r="N69" s="12">
        <v>4.0</v>
      </c>
      <c r="O69" s="12">
        <v>4.0</v>
      </c>
      <c r="P69" s="12">
        <v>8.0</v>
      </c>
    </row>
    <row r="70" ht="22.5" customHeight="1">
      <c r="A70" s="11">
        <v>46224.4030274074</v>
      </c>
      <c r="B70" s="12" t="s">
        <v>18</v>
      </c>
      <c r="C70" s="13">
        <v>46037.0</v>
      </c>
      <c r="D70" s="12" t="s">
        <v>30</v>
      </c>
      <c r="F70" s="12" t="s">
        <v>80</v>
      </c>
      <c r="G70" s="12" t="s">
        <v>46</v>
      </c>
      <c r="H70" s="12">
        <v>4.0</v>
      </c>
      <c r="I70" s="12">
        <v>5.0</v>
      </c>
      <c r="J70" s="12">
        <v>5.0</v>
      </c>
      <c r="K70" s="12">
        <v>5.0</v>
      </c>
      <c r="M70" s="12">
        <v>5.0</v>
      </c>
      <c r="N70" s="12">
        <v>5.0</v>
      </c>
      <c r="O70" s="12">
        <v>5.0</v>
      </c>
      <c r="P70" s="12">
        <v>9.0</v>
      </c>
    </row>
    <row r="71" ht="22.5" customHeight="1">
      <c r="A71" s="11">
        <v>46224.4032562037</v>
      </c>
      <c r="B71" s="12" t="s">
        <v>18</v>
      </c>
      <c r="C71" s="13">
        <v>46227.0</v>
      </c>
      <c r="D71" s="12" t="s">
        <v>19</v>
      </c>
      <c r="F71" s="12" t="s">
        <v>27</v>
      </c>
      <c r="G71" s="12" t="s">
        <v>91</v>
      </c>
      <c r="H71" s="12">
        <v>3.0</v>
      </c>
      <c r="I71" s="12">
        <v>3.0</v>
      </c>
      <c r="J71" s="12">
        <v>4.0</v>
      </c>
      <c r="K71" s="12">
        <v>5.0</v>
      </c>
      <c r="M71" s="12">
        <v>4.0</v>
      </c>
      <c r="N71" s="12">
        <v>3.0</v>
      </c>
      <c r="O71" s="12">
        <v>4.0</v>
      </c>
      <c r="P71" s="12">
        <v>9.0</v>
      </c>
    </row>
    <row r="72" ht="22.5" customHeight="1">
      <c r="A72" s="11">
        <v>46224.403571284725</v>
      </c>
      <c r="B72" s="12" t="s">
        <v>18</v>
      </c>
      <c r="C72" s="13">
        <v>46038.0</v>
      </c>
      <c r="D72" s="12" t="s">
        <v>19</v>
      </c>
      <c r="F72" s="12" t="s">
        <v>21</v>
      </c>
      <c r="G72" s="12" t="s">
        <v>46</v>
      </c>
      <c r="H72" s="12">
        <v>5.0</v>
      </c>
      <c r="I72" s="12">
        <v>4.0</v>
      </c>
      <c r="J72" s="12">
        <v>5.0</v>
      </c>
      <c r="K72" s="12">
        <v>5.0</v>
      </c>
      <c r="M72" s="12">
        <v>5.0</v>
      </c>
      <c r="N72" s="12">
        <v>5.0</v>
      </c>
      <c r="O72" s="12">
        <v>5.0</v>
      </c>
      <c r="P72" s="12">
        <v>9.0</v>
      </c>
    </row>
    <row r="73" ht="22.5" customHeight="1">
      <c r="A73" s="11">
        <v>46224.40389865741</v>
      </c>
      <c r="B73" s="12" t="s">
        <v>18</v>
      </c>
      <c r="C73" s="13">
        <v>46076.0</v>
      </c>
      <c r="D73" s="12" t="s">
        <v>19</v>
      </c>
      <c r="F73" s="12" t="s">
        <v>21</v>
      </c>
      <c r="G73" s="12" t="s">
        <v>92</v>
      </c>
      <c r="H73" s="12">
        <v>5.0</v>
      </c>
      <c r="I73" s="12">
        <v>4.0</v>
      </c>
      <c r="J73" s="12">
        <v>4.0</v>
      </c>
      <c r="K73" s="12">
        <v>4.0</v>
      </c>
      <c r="M73" s="12">
        <v>5.0</v>
      </c>
      <c r="N73" s="12">
        <v>4.0</v>
      </c>
      <c r="O73" s="12">
        <v>4.0</v>
      </c>
      <c r="P73" s="12">
        <v>8.0</v>
      </c>
    </row>
    <row r="74" ht="22.5" customHeight="1">
      <c r="A74" s="11">
        <v>46224.40528709491</v>
      </c>
      <c r="B74" s="12" t="s">
        <v>18</v>
      </c>
      <c r="C74" s="13">
        <v>46077.0</v>
      </c>
      <c r="D74" s="12" t="s">
        <v>19</v>
      </c>
      <c r="F74" s="12" t="s">
        <v>80</v>
      </c>
      <c r="G74" s="12" t="s">
        <v>90</v>
      </c>
      <c r="H74" s="12">
        <v>3.0</v>
      </c>
      <c r="I74" s="12">
        <v>4.0</v>
      </c>
      <c r="J74" s="12">
        <v>3.0</v>
      </c>
      <c r="K74" s="12">
        <v>4.0</v>
      </c>
      <c r="M74" s="12">
        <v>5.0</v>
      </c>
      <c r="N74" s="12">
        <v>5.0</v>
      </c>
      <c r="O74" s="12">
        <v>5.0</v>
      </c>
      <c r="P74" s="12">
        <v>8.0</v>
      </c>
    </row>
    <row r="75" ht="22.5" customHeight="1">
      <c r="A75" s="11">
        <v>46224.405847835646</v>
      </c>
      <c r="B75" s="12" t="s">
        <v>18</v>
      </c>
      <c r="C75" s="13">
        <v>46077.0</v>
      </c>
      <c r="D75" s="12" t="s">
        <v>93</v>
      </c>
      <c r="F75" s="12" t="s">
        <v>21</v>
      </c>
      <c r="G75" s="12" t="s">
        <v>90</v>
      </c>
      <c r="H75" s="12">
        <v>5.0</v>
      </c>
      <c r="I75" s="12">
        <v>4.0</v>
      </c>
      <c r="J75" s="12">
        <v>4.0</v>
      </c>
      <c r="K75" s="12">
        <v>4.0</v>
      </c>
      <c r="M75" s="12">
        <v>4.0</v>
      </c>
      <c r="N75" s="12">
        <v>4.0</v>
      </c>
      <c r="O75" s="12">
        <v>4.0</v>
      </c>
      <c r="P75" s="12">
        <v>10.0</v>
      </c>
    </row>
    <row r="76" ht="22.5" customHeight="1">
      <c r="A76" s="11">
        <v>46224.40682521991</v>
      </c>
      <c r="B76" s="12" t="s">
        <v>18</v>
      </c>
      <c r="C76" s="13">
        <v>46076.0</v>
      </c>
      <c r="D76" s="12" t="s">
        <v>19</v>
      </c>
      <c r="F76" s="12" t="s">
        <v>27</v>
      </c>
      <c r="G76" s="12" t="s">
        <v>90</v>
      </c>
      <c r="H76" s="12">
        <v>3.0</v>
      </c>
      <c r="I76" s="12">
        <v>5.0</v>
      </c>
      <c r="J76" s="12">
        <v>4.0</v>
      </c>
      <c r="K76" s="12">
        <v>4.0</v>
      </c>
      <c r="M76" s="12">
        <v>4.0</v>
      </c>
      <c r="N76" s="12">
        <v>4.0</v>
      </c>
      <c r="O76" s="12">
        <v>4.0</v>
      </c>
      <c r="P76" s="12">
        <v>9.0</v>
      </c>
    </row>
    <row r="77" ht="22.5" customHeight="1">
      <c r="A77" s="11">
        <v>46224.40793695602</v>
      </c>
      <c r="B77" s="12" t="s">
        <v>18</v>
      </c>
      <c r="C77" s="13">
        <v>46233.0</v>
      </c>
      <c r="D77" s="12" t="s">
        <v>30</v>
      </c>
      <c r="F77" s="12" t="s">
        <v>21</v>
      </c>
      <c r="G77" s="12" t="s">
        <v>90</v>
      </c>
      <c r="H77" s="12">
        <v>4.0</v>
      </c>
      <c r="I77" s="12">
        <v>4.0</v>
      </c>
      <c r="J77" s="12">
        <v>4.0</v>
      </c>
      <c r="K77" s="12">
        <v>4.0</v>
      </c>
      <c r="M77" s="12">
        <v>3.0</v>
      </c>
      <c r="N77" s="12">
        <v>3.0</v>
      </c>
      <c r="O77" s="12">
        <v>5.0</v>
      </c>
      <c r="P77" s="12">
        <v>9.0</v>
      </c>
    </row>
    <row r="78" ht="22.5" customHeight="1">
      <c r="A78" s="11">
        <v>46224.40858682871</v>
      </c>
      <c r="B78" s="12" t="s">
        <v>18</v>
      </c>
      <c r="C78" s="13">
        <v>46227.0</v>
      </c>
      <c r="D78" s="12" t="s">
        <v>19</v>
      </c>
      <c r="F78" s="12" t="s">
        <v>21</v>
      </c>
      <c r="G78" s="12" t="s">
        <v>90</v>
      </c>
      <c r="H78" s="12">
        <v>4.0</v>
      </c>
      <c r="I78" s="12">
        <v>5.0</v>
      </c>
      <c r="J78" s="12">
        <v>5.0</v>
      </c>
      <c r="K78" s="12">
        <v>5.0</v>
      </c>
      <c r="M78" s="12">
        <v>5.0</v>
      </c>
      <c r="N78" s="12">
        <v>5.0</v>
      </c>
      <c r="O78" s="12">
        <v>5.0</v>
      </c>
      <c r="P78" s="12">
        <v>9.0</v>
      </c>
    </row>
    <row r="79" ht="22.5" customHeight="1">
      <c r="A79" s="11">
        <v>46224.40947829861</v>
      </c>
      <c r="B79" s="12" t="s">
        <v>18</v>
      </c>
      <c r="C79" s="13">
        <v>46069.0</v>
      </c>
      <c r="D79" s="12" t="s">
        <v>30</v>
      </c>
      <c r="F79" s="12" t="s">
        <v>80</v>
      </c>
      <c r="G79" s="12" t="s">
        <v>90</v>
      </c>
      <c r="H79" s="12">
        <v>4.0</v>
      </c>
      <c r="I79" s="12">
        <v>4.0</v>
      </c>
      <c r="J79" s="12">
        <v>3.0</v>
      </c>
      <c r="K79" s="12">
        <v>5.0</v>
      </c>
      <c r="M79" s="12">
        <v>5.0</v>
      </c>
      <c r="N79" s="12">
        <v>5.0</v>
      </c>
      <c r="O79" s="12">
        <v>5.0</v>
      </c>
      <c r="P79" s="12">
        <v>10.0</v>
      </c>
    </row>
    <row r="80" ht="22.5" customHeight="1">
      <c r="A80" s="11">
        <v>46224.41015260416</v>
      </c>
      <c r="B80" s="12" t="s">
        <v>18</v>
      </c>
      <c r="C80" s="13">
        <v>46081.0</v>
      </c>
      <c r="D80" s="12" t="s">
        <v>93</v>
      </c>
      <c r="F80" s="12" t="s">
        <v>21</v>
      </c>
      <c r="G80" s="12" t="s">
        <v>90</v>
      </c>
      <c r="H80" s="12">
        <v>4.0</v>
      </c>
      <c r="I80" s="12">
        <v>5.0</v>
      </c>
      <c r="J80" s="12">
        <v>5.0</v>
      </c>
      <c r="K80" s="12">
        <v>5.0</v>
      </c>
      <c r="M80" s="12">
        <v>4.0</v>
      </c>
      <c r="N80" s="12">
        <v>4.0</v>
      </c>
      <c r="O80" s="12">
        <v>5.0</v>
      </c>
      <c r="P80" s="12">
        <v>9.0</v>
      </c>
    </row>
    <row r="81" ht="22.5" customHeight="1">
      <c r="A81" s="11">
        <v>46224.41090158565</v>
      </c>
      <c r="B81" s="12" t="s">
        <v>18</v>
      </c>
      <c r="C81" s="13">
        <v>46219.0</v>
      </c>
      <c r="D81" s="12" t="s">
        <v>19</v>
      </c>
      <c r="F81" s="12" t="s">
        <v>21</v>
      </c>
      <c r="G81" s="12" t="s">
        <v>90</v>
      </c>
      <c r="H81" s="12">
        <v>4.0</v>
      </c>
      <c r="I81" s="12">
        <v>4.0</v>
      </c>
      <c r="J81" s="12">
        <v>4.0</v>
      </c>
      <c r="K81" s="12">
        <v>3.0</v>
      </c>
      <c r="M81" s="12">
        <v>5.0</v>
      </c>
      <c r="N81" s="12">
        <v>5.0</v>
      </c>
      <c r="O81" s="12">
        <v>4.0</v>
      </c>
      <c r="P81" s="12">
        <v>9.0</v>
      </c>
    </row>
    <row r="82" ht="22.5" customHeight="1">
      <c r="A82" s="11">
        <v>46224.42939348379</v>
      </c>
      <c r="B82" s="12" t="s">
        <v>18</v>
      </c>
      <c r="C82" s="13">
        <v>46233.0</v>
      </c>
      <c r="D82" s="12" t="s">
        <v>19</v>
      </c>
      <c r="F82" s="12" t="s">
        <v>21</v>
      </c>
      <c r="G82" s="12" t="s">
        <v>90</v>
      </c>
      <c r="H82" s="12">
        <v>4.0</v>
      </c>
      <c r="I82" s="12">
        <v>4.0</v>
      </c>
      <c r="J82" s="12">
        <v>4.0</v>
      </c>
      <c r="K82" s="12">
        <v>5.0</v>
      </c>
      <c r="M82" s="12">
        <v>5.0</v>
      </c>
      <c r="N82" s="12">
        <v>5.0</v>
      </c>
      <c r="O82" s="12">
        <v>4.0</v>
      </c>
      <c r="P82" s="12">
        <v>10.0</v>
      </c>
    </row>
    <row r="83" ht="22.5" customHeight="1">
      <c r="A83" s="11">
        <v>46224.43064684028</v>
      </c>
      <c r="B83" s="12" t="s">
        <v>18</v>
      </c>
      <c r="C83" s="13">
        <v>46064.0</v>
      </c>
      <c r="D83" s="12" t="s">
        <v>19</v>
      </c>
      <c r="F83" s="12" t="s">
        <v>21</v>
      </c>
      <c r="G83" s="12" t="s">
        <v>90</v>
      </c>
      <c r="H83" s="12">
        <v>4.0</v>
      </c>
      <c r="I83" s="12">
        <v>4.0</v>
      </c>
      <c r="J83" s="12">
        <v>5.0</v>
      </c>
      <c r="K83" s="12">
        <v>4.0</v>
      </c>
      <c r="M83" s="12">
        <v>5.0</v>
      </c>
      <c r="N83" s="12">
        <v>5.0</v>
      </c>
      <c r="O83" s="12">
        <v>4.0</v>
      </c>
      <c r="P83" s="12">
        <v>10.0</v>
      </c>
    </row>
    <row r="84" ht="22.5" customHeight="1">
      <c r="A84" s="11">
        <v>46224.43163075231</v>
      </c>
      <c r="B84" s="12" t="s">
        <v>18</v>
      </c>
      <c r="C84" s="13">
        <v>46061.0</v>
      </c>
      <c r="D84" s="12" t="s">
        <v>19</v>
      </c>
      <c r="F84" s="12" t="s">
        <v>80</v>
      </c>
      <c r="G84" s="12" t="s">
        <v>90</v>
      </c>
      <c r="H84" s="12">
        <v>4.0</v>
      </c>
      <c r="I84" s="12">
        <v>4.0</v>
      </c>
      <c r="J84" s="12">
        <v>5.0</v>
      </c>
      <c r="K84" s="12">
        <v>4.0</v>
      </c>
      <c r="M84" s="12">
        <v>4.0</v>
      </c>
      <c r="N84" s="12">
        <v>4.0</v>
      </c>
      <c r="O84" s="12">
        <v>4.0</v>
      </c>
      <c r="P84" s="12">
        <v>10.0</v>
      </c>
    </row>
    <row r="85" ht="22.5" customHeight="1">
      <c r="A85" s="11">
        <v>46224.44075050926</v>
      </c>
      <c r="B85" s="12" t="s">
        <v>18</v>
      </c>
      <c r="C85" s="13">
        <v>46081.0</v>
      </c>
      <c r="D85" s="12" t="s">
        <v>30</v>
      </c>
      <c r="F85" s="12" t="s">
        <v>80</v>
      </c>
      <c r="G85" s="12" t="s">
        <v>90</v>
      </c>
      <c r="H85" s="12">
        <v>4.0</v>
      </c>
      <c r="I85" s="12">
        <v>5.0</v>
      </c>
      <c r="J85" s="12">
        <v>4.0</v>
      </c>
      <c r="K85" s="12">
        <v>4.0</v>
      </c>
      <c r="M85" s="12">
        <v>3.0</v>
      </c>
      <c r="N85" s="12">
        <v>4.0</v>
      </c>
      <c r="O85" s="12">
        <v>5.0</v>
      </c>
      <c r="P85" s="12">
        <v>9.0</v>
      </c>
    </row>
    <row r="86" ht="22.5" customHeight="1">
      <c r="A86" s="11">
        <v>46224.44124659723</v>
      </c>
      <c r="B86" s="12" t="s">
        <v>18</v>
      </c>
      <c r="C86" s="13">
        <v>46060.0</v>
      </c>
      <c r="D86" s="12" t="s">
        <v>19</v>
      </c>
      <c r="F86" s="12" t="s">
        <v>21</v>
      </c>
      <c r="G86" s="12" t="s">
        <v>90</v>
      </c>
      <c r="H86" s="12">
        <v>4.0</v>
      </c>
      <c r="I86" s="12">
        <v>5.0</v>
      </c>
      <c r="J86" s="12">
        <v>4.0</v>
      </c>
      <c r="M86" s="12">
        <v>5.0</v>
      </c>
      <c r="N86" s="12">
        <v>5.0</v>
      </c>
      <c r="O86" s="12">
        <v>5.0</v>
      </c>
      <c r="P86" s="12">
        <v>9.0</v>
      </c>
    </row>
    <row r="87" ht="22.5" customHeight="1">
      <c r="A87" s="11">
        <v>46224.442520752316</v>
      </c>
      <c r="B87" s="12" t="s">
        <v>18</v>
      </c>
      <c r="C87" s="13">
        <v>46056.0</v>
      </c>
      <c r="D87" s="12" t="s">
        <v>19</v>
      </c>
      <c r="F87" s="12" t="s">
        <v>21</v>
      </c>
      <c r="G87" s="12" t="s">
        <v>90</v>
      </c>
      <c r="H87" s="12">
        <v>4.0</v>
      </c>
      <c r="I87" s="12">
        <v>5.0</v>
      </c>
      <c r="J87" s="12">
        <v>5.0</v>
      </c>
      <c r="K87" s="12">
        <v>5.0</v>
      </c>
      <c r="M87" s="12">
        <v>4.0</v>
      </c>
      <c r="N87" s="12">
        <v>4.0</v>
      </c>
      <c r="O87" s="12">
        <v>4.0</v>
      </c>
      <c r="P87" s="12">
        <v>10.0</v>
      </c>
    </row>
    <row r="88" ht="22.5" customHeight="1">
      <c r="A88" s="11">
        <v>46224.443278506944</v>
      </c>
      <c r="B88" s="12" t="s">
        <v>18</v>
      </c>
      <c r="C88" s="13">
        <v>46085.0</v>
      </c>
      <c r="D88" s="12" t="s">
        <v>19</v>
      </c>
      <c r="F88" s="12" t="s">
        <v>80</v>
      </c>
      <c r="G88" s="12" t="s">
        <v>90</v>
      </c>
      <c r="H88" s="12">
        <v>4.0</v>
      </c>
      <c r="I88" s="12">
        <v>4.0</v>
      </c>
      <c r="J88" s="12">
        <v>5.0</v>
      </c>
      <c r="K88" s="12">
        <v>5.0</v>
      </c>
      <c r="M88" s="12">
        <v>5.0</v>
      </c>
      <c r="N88" s="12">
        <v>5.0</v>
      </c>
      <c r="O88" s="12">
        <v>5.0</v>
      </c>
      <c r="P88" s="12">
        <v>9.0</v>
      </c>
    </row>
    <row r="89" ht="22.5" customHeight="1">
      <c r="A89" s="11">
        <v>46224.44387495371</v>
      </c>
      <c r="B89" s="12" t="s">
        <v>18</v>
      </c>
      <c r="C89" s="13">
        <v>46085.0</v>
      </c>
      <c r="D89" s="12" t="s">
        <v>30</v>
      </c>
      <c r="F89" s="12" t="s">
        <v>80</v>
      </c>
      <c r="G89" s="12" t="s">
        <v>90</v>
      </c>
      <c r="H89" s="12">
        <v>3.0</v>
      </c>
      <c r="I89" s="12">
        <v>4.0</v>
      </c>
      <c r="J89" s="12">
        <v>4.0</v>
      </c>
      <c r="K89" s="12">
        <v>3.0</v>
      </c>
      <c r="M89" s="12">
        <v>4.0</v>
      </c>
      <c r="N89" s="12">
        <v>4.0</v>
      </c>
      <c r="O89" s="12">
        <v>5.0</v>
      </c>
      <c r="P89" s="12">
        <v>10.0</v>
      </c>
    </row>
    <row r="90" ht="22.5" customHeight="1">
      <c r="A90" s="11">
        <v>46224.44515885417</v>
      </c>
      <c r="B90" s="12" t="s">
        <v>18</v>
      </c>
      <c r="C90" s="13">
        <v>46090.0</v>
      </c>
      <c r="D90" s="12" t="s">
        <v>19</v>
      </c>
      <c r="F90" s="12" t="s">
        <v>21</v>
      </c>
      <c r="G90" s="12" t="s">
        <v>90</v>
      </c>
      <c r="H90" s="12">
        <v>5.0</v>
      </c>
      <c r="I90" s="12">
        <v>4.0</v>
      </c>
      <c r="J90" s="12">
        <v>4.0</v>
      </c>
      <c r="K90" s="12">
        <v>4.0</v>
      </c>
      <c r="M90" s="12">
        <v>4.0</v>
      </c>
      <c r="N90" s="12">
        <v>4.0</v>
      </c>
      <c r="O90" s="12">
        <v>5.0</v>
      </c>
      <c r="P90" s="12">
        <v>10.0</v>
      </c>
    </row>
    <row r="91" ht="22.5" customHeight="1">
      <c r="A91" s="11">
        <v>46224.44566138889</v>
      </c>
      <c r="B91" s="12" t="s">
        <v>18</v>
      </c>
      <c r="C91" s="13">
        <v>46094.0</v>
      </c>
      <c r="D91" s="12" t="s">
        <v>30</v>
      </c>
      <c r="F91" s="12" t="s">
        <v>80</v>
      </c>
      <c r="G91" s="12" t="s">
        <v>90</v>
      </c>
      <c r="H91" s="12">
        <v>4.0</v>
      </c>
      <c r="I91" s="12">
        <v>5.0</v>
      </c>
      <c r="J91" s="12">
        <v>5.0</v>
      </c>
      <c r="K91" s="12">
        <v>4.0</v>
      </c>
      <c r="M91" s="12">
        <v>4.0</v>
      </c>
      <c r="N91" s="12">
        <v>5.0</v>
      </c>
      <c r="O91" s="12">
        <v>4.0</v>
      </c>
      <c r="P91" s="12">
        <v>10.0</v>
      </c>
    </row>
    <row r="92" ht="22.5" customHeight="1">
      <c r="A92" s="11">
        <v>46224.44615758102</v>
      </c>
      <c r="B92" s="12" t="s">
        <v>18</v>
      </c>
      <c r="C92" s="13">
        <v>46100.0</v>
      </c>
      <c r="D92" s="12" t="s">
        <v>19</v>
      </c>
      <c r="F92" s="12" t="s">
        <v>80</v>
      </c>
      <c r="G92" s="12" t="s">
        <v>90</v>
      </c>
      <c r="H92" s="12">
        <v>4.0</v>
      </c>
      <c r="I92" s="12">
        <v>3.0</v>
      </c>
      <c r="J92" s="12">
        <v>4.0</v>
      </c>
      <c r="K92" s="12">
        <v>3.0</v>
      </c>
      <c r="M92" s="12">
        <v>4.0</v>
      </c>
      <c r="N92" s="12">
        <v>4.0</v>
      </c>
      <c r="O92" s="12">
        <v>5.0</v>
      </c>
      <c r="P92" s="12">
        <v>10.0</v>
      </c>
    </row>
    <row r="93" ht="22.5" customHeight="1">
      <c r="A93" s="11">
        <v>46224.44700568287</v>
      </c>
      <c r="B93" s="12" t="s">
        <v>18</v>
      </c>
      <c r="C93" s="13">
        <v>46072.0</v>
      </c>
      <c r="D93" s="12" t="s">
        <v>19</v>
      </c>
      <c r="F93" s="12" t="s">
        <v>21</v>
      </c>
      <c r="G93" s="12" t="s">
        <v>90</v>
      </c>
      <c r="H93" s="12">
        <v>5.0</v>
      </c>
      <c r="I93" s="12">
        <v>5.0</v>
      </c>
      <c r="J93" s="12">
        <v>4.0</v>
      </c>
      <c r="K93" s="12">
        <v>4.0</v>
      </c>
      <c r="M93" s="12">
        <v>4.0</v>
      </c>
      <c r="N93" s="12">
        <v>4.0</v>
      </c>
      <c r="O93" s="12">
        <v>5.0</v>
      </c>
      <c r="P93" s="12">
        <v>10.0</v>
      </c>
    </row>
    <row r="94" ht="22.5" customHeight="1">
      <c r="A94" s="11">
        <v>46224.448580972225</v>
      </c>
      <c r="B94" s="12" t="s">
        <v>18</v>
      </c>
      <c r="C94" s="13">
        <v>46099.0</v>
      </c>
      <c r="D94" s="12" t="s">
        <v>19</v>
      </c>
      <c r="F94" s="12" t="s">
        <v>21</v>
      </c>
      <c r="G94" s="12" t="s">
        <v>94</v>
      </c>
      <c r="H94" s="12">
        <v>4.0</v>
      </c>
      <c r="I94" s="12">
        <v>4.0</v>
      </c>
      <c r="J94" s="12">
        <v>4.0</v>
      </c>
      <c r="K94" s="12">
        <v>4.0</v>
      </c>
      <c r="M94" s="12">
        <v>5.0</v>
      </c>
      <c r="N94" s="12">
        <v>4.0</v>
      </c>
      <c r="O94" s="12">
        <v>5.0</v>
      </c>
      <c r="P94" s="12">
        <v>10.0</v>
      </c>
    </row>
    <row r="95" ht="22.5" customHeight="1">
      <c r="A95" s="11">
        <v>46224.44937074074</v>
      </c>
      <c r="B95" s="12" t="s">
        <v>18</v>
      </c>
      <c r="C95" s="13">
        <v>46097.0</v>
      </c>
      <c r="D95" s="12" t="s">
        <v>30</v>
      </c>
      <c r="F95" s="12" t="s">
        <v>80</v>
      </c>
      <c r="G95" s="12" t="s">
        <v>90</v>
      </c>
      <c r="H95" s="12">
        <v>4.0</v>
      </c>
      <c r="I95" s="12">
        <v>4.0</v>
      </c>
      <c r="J95" s="12">
        <v>5.0</v>
      </c>
      <c r="K95" s="12">
        <v>5.0</v>
      </c>
      <c r="M95" s="12">
        <v>5.0</v>
      </c>
      <c r="N95" s="12">
        <v>5.0</v>
      </c>
      <c r="O95" s="12">
        <v>4.0</v>
      </c>
      <c r="P95" s="12">
        <v>10.0</v>
      </c>
    </row>
    <row r="96" ht="22.5" customHeight="1">
      <c r="A96" s="11">
        <v>46224.4500543287</v>
      </c>
      <c r="B96" s="12" t="s">
        <v>18</v>
      </c>
      <c r="C96" s="13">
        <v>46105.0</v>
      </c>
      <c r="D96" s="12" t="s">
        <v>19</v>
      </c>
      <c r="F96" s="12" t="s">
        <v>21</v>
      </c>
      <c r="G96" s="12" t="s">
        <v>90</v>
      </c>
      <c r="H96" s="12">
        <v>4.0</v>
      </c>
      <c r="I96" s="12">
        <v>5.0</v>
      </c>
      <c r="J96" s="12">
        <v>5.0</v>
      </c>
      <c r="K96" s="12">
        <v>4.0</v>
      </c>
      <c r="M96" s="12">
        <v>4.0</v>
      </c>
      <c r="N96" s="12">
        <v>4.0</v>
      </c>
      <c r="O96" s="12">
        <v>4.0</v>
      </c>
      <c r="P96" s="12">
        <v>10.0</v>
      </c>
    </row>
    <row r="97" ht="22.5" customHeight="1">
      <c r="A97" s="11">
        <v>46224.45138951389</v>
      </c>
      <c r="B97" s="12" t="s">
        <v>18</v>
      </c>
      <c r="C97" s="13">
        <v>46100.0</v>
      </c>
      <c r="D97" s="12" t="s">
        <v>19</v>
      </c>
      <c r="F97" s="12" t="s">
        <v>21</v>
      </c>
      <c r="G97" s="12" t="s">
        <v>90</v>
      </c>
      <c r="H97" s="12">
        <v>4.0</v>
      </c>
      <c r="I97" s="12">
        <v>4.0</v>
      </c>
      <c r="J97" s="12">
        <v>5.0</v>
      </c>
      <c r="K97" s="12">
        <v>5.0</v>
      </c>
      <c r="M97" s="12">
        <v>5.0</v>
      </c>
      <c r="N97" s="12">
        <v>4.0</v>
      </c>
      <c r="O97" s="12">
        <v>4.0</v>
      </c>
      <c r="P97" s="12">
        <v>10.0</v>
      </c>
    </row>
    <row r="98" ht="22.5" customHeight="1">
      <c r="A98" s="11">
        <v>46224.45204633102</v>
      </c>
      <c r="B98" s="12" t="s">
        <v>18</v>
      </c>
      <c r="C98" s="13">
        <v>46105.0</v>
      </c>
      <c r="D98" s="12" t="s">
        <v>19</v>
      </c>
      <c r="F98" s="12" t="s">
        <v>21</v>
      </c>
      <c r="G98" s="12" t="s">
        <v>90</v>
      </c>
      <c r="H98" s="12">
        <v>4.0</v>
      </c>
      <c r="I98" s="12">
        <v>4.0</v>
      </c>
      <c r="J98" s="12">
        <v>4.0</v>
      </c>
      <c r="K98" s="12">
        <v>5.0</v>
      </c>
      <c r="M98" s="12">
        <v>5.0</v>
      </c>
      <c r="N98" s="12">
        <v>5.0</v>
      </c>
      <c r="O98" s="12">
        <v>5.0</v>
      </c>
      <c r="P98" s="12">
        <v>10.0</v>
      </c>
    </row>
    <row r="99" ht="22.5" customHeight="1">
      <c r="A99" s="11">
        <v>46224.46801524305</v>
      </c>
      <c r="B99" s="12" t="s">
        <v>18</v>
      </c>
      <c r="C99" s="13">
        <v>46107.0</v>
      </c>
      <c r="D99" s="12" t="s">
        <v>19</v>
      </c>
      <c r="F99" s="12" t="s">
        <v>21</v>
      </c>
      <c r="G99" s="12" t="s">
        <v>90</v>
      </c>
      <c r="H99" s="12">
        <v>4.0</v>
      </c>
      <c r="I99" s="12">
        <v>4.0</v>
      </c>
      <c r="J99" s="12">
        <v>4.0</v>
      </c>
      <c r="K99" s="12">
        <v>4.0</v>
      </c>
      <c r="M99" s="12">
        <v>3.0</v>
      </c>
      <c r="N99" s="12">
        <v>5.0</v>
      </c>
      <c r="O99" s="12">
        <v>3.0</v>
      </c>
      <c r="P99" s="12">
        <v>10.0</v>
      </c>
    </row>
    <row r="100" ht="22.5" customHeight="1">
      <c r="A100" s="11">
        <v>46224.46843383102</v>
      </c>
      <c r="B100" s="12" t="s">
        <v>18</v>
      </c>
      <c r="C100" s="13">
        <v>46099.0</v>
      </c>
      <c r="D100" s="12" t="s">
        <v>19</v>
      </c>
      <c r="F100" s="12" t="s">
        <v>21</v>
      </c>
      <c r="G100" s="12" t="s">
        <v>90</v>
      </c>
      <c r="H100" s="12">
        <v>4.0</v>
      </c>
      <c r="I100" s="12">
        <v>3.0</v>
      </c>
      <c r="J100" s="12">
        <v>4.0</v>
      </c>
      <c r="K100" s="12">
        <v>5.0</v>
      </c>
      <c r="M100" s="12">
        <v>5.0</v>
      </c>
      <c r="N100" s="12">
        <v>4.0</v>
      </c>
      <c r="O100" s="12">
        <v>4.0</v>
      </c>
      <c r="P100" s="12">
        <v>10.0</v>
      </c>
    </row>
    <row r="101" ht="22.5" customHeight="1">
      <c r="A101" s="11">
        <v>46224.46898868056</v>
      </c>
      <c r="B101" s="12" t="s">
        <v>18</v>
      </c>
      <c r="C101" s="13">
        <v>46104.0</v>
      </c>
      <c r="D101" s="12" t="s">
        <v>30</v>
      </c>
      <c r="F101" s="12" t="s">
        <v>27</v>
      </c>
      <c r="G101" s="12" t="s">
        <v>90</v>
      </c>
      <c r="H101" s="12">
        <v>4.0</v>
      </c>
      <c r="I101" s="12">
        <v>3.0</v>
      </c>
      <c r="J101" s="12">
        <v>5.0</v>
      </c>
      <c r="K101" s="12">
        <v>5.0</v>
      </c>
      <c r="M101" s="12">
        <v>4.0</v>
      </c>
      <c r="N101" s="12">
        <v>4.0</v>
      </c>
      <c r="O101" s="12">
        <v>5.0</v>
      </c>
      <c r="P101" s="12">
        <v>10.0</v>
      </c>
    </row>
    <row r="102" ht="22.5" customHeight="1">
      <c r="A102" s="11">
        <v>46224.46971334491</v>
      </c>
      <c r="B102" s="12" t="s">
        <v>18</v>
      </c>
      <c r="C102" s="13">
        <v>46099.0</v>
      </c>
      <c r="D102" s="12" t="s">
        <v>19</v>
      </c>
      <c r="F102" s="12" t="s">
        <v>27</v>
      </c>
      <c r="G102" s="12" t="s">
        <v>90</v>
      </c>
      <c r="H102" s="12">
        <v>4.0</v>
      </c>
      <c r="I102" s="12">
        <v>4.0</v>
      </c>
      <c r="J102" s="12">
        <v>5.0</v>
      </c>
      <c r="K102" s="12">
        <v>5.0</v>
      </c>
      <c r="M102" s="12">
        <v>5.0</v>
      </c>
      <c r="N102" s="12">
        <v>4.0</v>
      </c>
      <c r="O102" s="12">
        <v>4.0</v>
      </c>
      <c r="P102" s="12">
        <v>10.0</v>
      </c>
    </row>
    <row r="103" ht="22.5" customHeight="1">
      <c r="A103" s="11">
        <v>46224.47020043981</v>
      </c>
      <c r="B103" s="12" t="s">
        <v>18</v>
      </c>
      <c r="C103" s="13">
        <v>46092.0</v>
      </c>
      <c r="D103" s="12" t="s">
        <v>30</v>
      </c>
      <c r="F103" s="12" t="s">
        <v>21</v>
      </c>
      <c r="G103" s="12" t="s">
        <v>90</v>
      </c>
      <c r="H103" s="12">
        <v>4.0</v>
      </c>
      <c r="I103" s="12">
        <v>4.0</v>
      </c>
      <c r="J103" s="12">
        <v>4.0</v>
      </c>
      <c r="K103" s="12">
        <v>5.0</v>
      </c>
      <c r="M103" s="12">
        <v>5.0</v>
      </c>
      <c r="N103" s="12">
        <v>5.0</v>
      </c>
      <c r="O103" s="12">
        <v>5.0</v>
      </c>
      <c r="P103" s="12">
        <v>10.0</v>
      </c>
    </row>
    <row r="104" ht="22.5" customHeight="1">
      <c r="A104" s="11">
        <v>46224.47103813657</v>
      </c>
      <c r="B104" s="12" t="s">
        <v>18</v>
      </c>
      <c r="C104" s="13">
        <v>46090.0</v>
      </c>
      <c r="D104" s="12" t="s">
        <v>19</v>
      </c>
      <c r="F104" s="12" t="s">
        <v>80</v>
      </c>
      <c r="G104" s="12" t="s">
        <v>90</v>
      </c>
      <c r="H104" s="12">
        <v>4.0</v>
      </c>
      <c r="I104" s="12">
        <v>5.0</v>
      </c>
      <c r="J104" s="12">
        <v>4.0</v>
      </c>
      <c r="K104" s="12">
        <v>4.0</v>
      </c>
      <c r="M104" s="12">
        <v>5.0</v>
      </c>
      <c r="N104" s="12">
        <v>5.0</v>
      </c>
      <c r="O104" s="12">
        <v>5.0</v>
      </c>
      <c r="P104" s="12">
        <v>10.0</v>
      </c>
    </row>
    <row r="105" ht="22.5" customHeight="1">
      <c r="A105" s="11">
        <v>46224.47202724537</v>
      </c>
      <c r="B105" s="12" t="s">
        <v>18</v>
      </c>
      <c r="C105" s="13">
        <v>46107.0</v>
      </c>
      <c r="D105" s="12" t="s">
        <v>19</v>
      </c>
      <c r="F105" s="12" t="s">
        <v>21</v>
      </c>
      <c r="G105" s="12" t="s">
        <v>90</v>
      </c>
      <c r="H105" s="12">
        <v>4.0</v>
      </c>
      <c r="I105" s="12">
        <v>4.0</v>
      </c>
      <c r="J105" s="12">
        <v>3.0</v>
      </c>
      <c r="K105" s="12">
        <v>3.0</v>
      </c>
      <c r="M105" s="12">
        <v>4.0</v>
      </c>
      <c r="N105" s="12">
        <v>4.0</v>
      </c>
      <c r="O105" s="12">
        <v>4.0</v>
      </c>
      <c r="P105" s="12">
        <v>9.0</v>
      </c>
    </row>
    <row r="106" ht="22.5" customHeight="1">
      <c r="A106" s="11">
        <v>46224.472568287034</v>
      </c>
      <c r="B106" s="12" t="s">
        <v>18</v>
      </c>
      <c r="C106" s="13">
        <v>46122.0</v>
      </c>
      <c r="D106" s="12" t="s">
        <v>19</v>
      </c>
      <c r="F106" s="12" t="s">
        <v>21</v>
      </c>
      <c r="G106" s="12" t="s">
        <v>90</v>
      </c>
      <c r="H106" s="12">
        <v>4.0</v>
      </c>
      <c r="I106" s="12">
        <v>4.0</v>
      </c>
      <c r="J106" s="12">
        <v>3.0</v>
      </c>
      <c r="K106" s="12">
        <v>4.0</v>
      </c>
      <c r="M106" s="12">
        <v>5.0</v>
      </c>
      <c r="N106" s="12">
        <v>4.0</v>
      </c>
      <c r="O106" s="12">
        <v>3.0</v>
      </c>
      <c r="P106" s="12">
        <v>8.0</v>
      </c>
    </row>
    <row r="107" ht="22.5" customHeight="1">
      <c r="A107" s="11">
        <v>46224.47461363426</v>
      </c>
      <c r="B107" s="12" t="s">
        <v>18</v>
      </c>
      <c r="C107" s="13">
        <v>46114.0</v>
      </c>
      <c r="D107" s="12" t="s">
        <v>19</v>
      </c>
      <c r="F107" s="12" t="s">
        <v>21</v>
      </c>
      <c r="G107" s="12" t="s">
        <v>90</v>
      </c>
      <c r="H107" s="12">
        <v>5.0</v>
      </c>
      <c r="I107" s="12">
        <v>4.0</v>
      </c>
      <c r="J107" s="12">
        <v>4.0</v>
      </c>
      <c r="K107" s="12">
        <v>3.0</v>
      </c>
      <c r="M107" s="12">
        <v>4.0</v>
      </c>
      <c r="N107" s="12">
        <v>5.0</v>
      </c>
      <c r="O107" s="12">
        <v>5.0</v>
      </c>
      <c r="P107" s="12">
        <v>10.0</v>
      </c>
    </row>
    <row r="108" ht="22.5" customHeight="1">
      <c r="A108" s="11">
        <v>46224.47504326389</v>
      </c>
      <c r="B108" s="12" t="s">
        <v>18</v>
      </c>
      <c r="C108" s="13">
        <v>46293.0</v>
      </c>
      <c r="D108" s="12" t="s">
        <v>19</v>
      </c>
      <c r="F108" s="12" t="s">
        <v>80</v>
      </c>
      <c r="G108" s="12" t="s">
        <v>90</v>
      </c>
      <c r="H108" s="12">
        <v>4.0</v>
      </c>
      <c r="I108" s="12">
        <v>5.0</v>
      </c>
      <c r="J108" s="12">
        <v>4.0</v>
      </c>
      <c r="K108" s="12">
        <v>4.0</v>
      </c>
      <c r="M108" s="12">
        <v>4.0</v>
      </c>
      <c r="N108" s="12">
        <v>4.0</v>
      </c>
      <c r="O108" s="12">
        <v>4.0</v>
      </c>
      <c r="P108" s="12">
        <v>10.0</v>
      </c>
    </row>
    <row r="109" ht="22.5" customHeight="1">
      <c r="A109" s="11">
        <v>46224.47556269676</v>
      </c>
      <c r="B109" s="12" t="s">
        <v>18</v>
      </c>
      <c r="C109" s="13">
        <v>46136.0</v>
      </c>
      <c r="D109" s="12" t="s">
        <v>19</v>
      </c>
      <c r="F109" s="12" t="s">
        <v>27</v>
      </c>
      <c r="G109" s="12" t="s">
        <v>90</v>
      </c>
      <c r="H109" s="12">
        <v>5.0</v>
      </c>
      <c r="I109" s="12">
        <v>5.0</v>
      </c>
      <c r="J109" s="12">
        <v>4.0</v>
      </c>
      <c r="K109" s="12">
        <v>3.0</v>
      </c>
      <c r="M109" s="12">
        <v>5.0</v>
      </c>
      <c r="N109" s="12">
        <v>4.0</v>
      </c>
      <c r="O109" s="12">
        <v>4.0</v>
      </c>
      <c r="P109" s="12">
        <v>9.0</v>
      </c>
    </row>
    <row r="110" ht="22.5" customHeight="1">
      <c r="A110" s="11">
        <v>46224.479609525464</v>
      </c>
      <c r="B110" s="12" t="s">
        <v>18</v>
      </c>
      <c r="C110" s="13">
        <v>46135.0</v>
      </c>
      <c r="D110" s="12" t="s">
        <v>19</v>
      </c>
      <c r="F110" s="12" t="s">
        <v>27</v>
      </c>
      <c r="G110" s="12" t="s">
        <v>90</v>
      </c>
      <c r="H110" s="12">
        <v>4.0</v>
      </c>
      <c r="I110" s="12">
        <v>4.0</v>
      </c>
      <c r="J110" s="12">
        <v>5.0</v>
      </c>
      <c r="K110" s="12">
        <v>5.0</v>
      </c>
      <c r="M110" s="12">
        <v>5.0</v>
      </c>
      <c r="N110" s="12">
        <v>4.0</v>
      </c>
      <c r="O110" s="12">
        <v>5.0</v>
      </c>
      <c r="P110" s="12">
        <v>10.0</v>
      </c>
    </row>
    <row r="111" ht="22.5" customHeight="1">
      <c r="A111" s="11">
        <v>46224.48042894676</v>
      </c>
      <c r="B111" s="12" t="s">
        <v>18</v>
      </c>
      <c r="C111" s="13">
        <v>46140.0</v>
      </c>
      <c r="D111" s="12" t="s">
        <v>30</v>
      </c>
      <c r="F111" s="12" t="s">
        <v>21</v>
      </c>
      <c r="G111" s="12" t="s">
        <v>90</v>
      </c>
      <c r="H111" s="12">
        <v>4.0</v>
      </c>
      <c r="I111" s="12">
        <v>4.0</v>
      </c>
      <c r="J111" s="12">
        <v>4.0</v>
      </c>
      <c r="K111" s="12">
        <v>3.0</v>
      </c>
      <c r="M111" s="12">
        <v>5.0</v>
      </c>
      <c r="N111" s="12">
        <v>5.0</v>
      </c>
      <c r="O111" s="12">
        <v>4.0</v>
      </c>
      <c r="P111" s="12">
        <v>10.0</v>
      </c>
    </row>
    <row r="112" ht="22.5" customHeight="1">
      <c r="A112" s="11">
        <v>46224.48128545139</v>
      </c>
      <c r="B112" s="12" t="s">
        <v>18</v>
      </c>
      <c r="C112" s="13">
        <v>46129.0</v>
      </c>
      <c r="D112" s="12" t="s">
        <v>19</v>
      </c>
      <c r="F112" s="12" t="s">
        <v>21</v>
      </c>
      <c r="G112" s="12" t="s">
        <v>90</v>
      </c>
      <c r="H112" s="12">
        <v>4.0</v>
      </c>
      <c r="I112" s="12">
        <v>3.0</v>
      </c>
      <c r="J112" s="12">
        <v>4.0</v>
      </c>
      <c r="K112" s="12">
        <v>5.0</v>
      </c>
      <c r="M112" s="12">
        <v>5.0</v>
      </c>
      <c r="N112" s="12">
        <v>4.0</v>
      </c>
      <c r="O112" s="12">
        <v>5.0</v>
      </c>
      <c r="P112" s="12">
        <v>10.0</v>
      </c>
    </row>
    <row r="113" ht="22.5" customHeight="1">
      <c r="A113" s="11">
        <v>46224.481712361114</v>
      </c>
      <c r="B113" s="12" t="s">
        <v>18</v>
      </c>
      <c r="C113" s="13">
        <v>46153.0</v>
      </c>
      <c r="D113" s="12" t="s">
        <v>19</v>
      </c>
      <c r="F113" s="12" t="s">
        <v>21</v>
      </c>
      <c r="G113" s="12" t="s">
        <v>90</v>
      </c>
      <c r="H113" s="12">
        <v>4.0</v>
      </c>
      <c r="I113" s="12">
        <v>3.0</v>
      </c>
      <c r="J113" s="12">
        <v>5.0</v>
      </c>
      <c r="K113" s="12">
        <v>5.0</v>
      </c>
      <c r="M113" s="12">
        <v>5.0</v>
      </c>
      <c r="N113" s="12">
        <v>4.0</v>
      </c>
      <c r="O113" s="12">
        <v>5.0</v>
      </c>
      <c r="P113" s="12">
        <v>10.0</v>
      </c>
    </row>
    <row r="114" ht="22.5" customHeight="1">
      <c r="A114" s="11">
        <v>46224.48245378472</v>
      </c>
      <c r="B114" s="12" t="s">
        <v>18</v>
      </c>
      <c r="C114" s="13">
        <v>46168.0</v>
      </c>
      <c r="D114" s="12" t="s">
        <v>19</v>
      </c>
      <c r="F114" s="12" t="s">
        <v>21</v>
      </c>
      <c r="G114" s="12" t="s">
        <v>90</v>
      </c>
      <c r="H114" s="12">
        <v>4.0</v>
      </c>
      <c r="I114" s="12">
        <v>5.0</v>
      </c>
      <c r="J114" s="12">
        <v>5.0</v>
      </c>
      <c r="K114" s="12">
        <v>4.0</v>
      </c>
      <c r="M114" s="12">
        <v>4.0</v>
      </c>
      <c r="N114" s="12">
        <v>5.0</v>
      </c>
      <c r="O114" s="12">
        <v>3.0</v>
      </c>
      <c r="P114" s="12">
        <v>10.0</v>
      </c>
    </row>
    <row r="115" ht="22.5" customHeight="1">
      <c r="A115" s="11">
        <v>46224.48398525463</v>
      </c>
      <c r="B115" s="12" t="s">
        <v>18</v>
      </c>
      <c r="C115" s="13">
        <v>46156.0</v>
      </c>
      <c r="D115" s="12" t="s">
        <v>19</v>
      </c>
      <c r="F115" s="12" t="s">
        <v>80</v>
      </c>
      <c r="G115" s="12" t="s">
        <v>95</v>
      </c>
      <c r="H115" s="12">
        <v>4.0</v>
      </c>
      <c r="I115" s="12">
        <v>5.0</v>
      </c>
      <c r="J115" s="12">
        <v>5.0</v>
      </c>
      <c r="K115" s="12">
        <v>4.0</v>
      </c>
      <c r="M115" s="12">
        <v>4.0</v>
      </c>
      <c r="N115" s="12">
        <v>4.0</v>
      </c>
      <c r="O115" s="12">
        <v>5.0</v>
      </c>
      <c r="P115" s="12">
        <v>10.0</v>
      </c>
    </row>
    <row r="116" ht="22.5" customHeight="1">
      <c r="A116" s="11">
        <v>46224.484694976854</v>
      </c>
      <c r="B116" s="12" t="s">
        <v>18</v>
      </c>
      <c r="C116" s="13">
        <v>46162.0</v>
      </c>
      <c r="D116" s="12" t="s">
        <v>30</v>
      </c>
      <c r="F116" s="12" t="s">
        <v>80</v>
      </c>
      <c r="G116" s="12" t="s">
        <v>90</v>
      </c>
      <c r="H116" s="12">
        <v>4.0</v>
      </c>
      <c r="I116" s="12">
        <v>3.0</v>
      </c>
      <c r="J116" s="12">
        <v>5.0</v>
      </c>
      <c r="K116" s="12">
        <v>5.0</v>
      </c>
      <c r="M116" s="12">
        <v>4.0</v>
      </c>
      <c r="N116" s="12">
        <v>5.0</v>
      </c>
      <c r="O116" s="12">
        <v>5.0</v>
      </c>
      <c r="P116" s="12">
        <v>10.0</v>
      </c>
    </row>
    <row r="117" ht="22.5" customHeight="1">
      <c r="A117" s="11">
        <v>46224.48619582176</v>
      </c>
      <c r="B117" s="12" t="s">
        <v>18</v>
      </c>
      <c r="C117" s="13">
        <v>46168.0</v>
      </c>
      <c r="D117" s="12" t="s">
        <v>30</v>
      </c>
      <c r="F117" s="12" t="s">
        <v>21</v>
      </c>
      <c r="G117" s="12" t="s">
        <v>90</v>
      </c>
      <c r="H117" s="12">
        <v>4.0</v>
      </c>
      <c r="I117" s="12">
        <v>4.0</v>
      </c>
      <c r="J117" s="12">
        <v>5.0</v>
      </c>
      <c r="K117" s="12">
        <v>5.0</v>
      </c>
      <c r="M117" s="12">
        <v>5.0</v>
      </c>
      <c r="N117" s="12">
        <v>5.0</v>
      </c>
      <c r="O117" s="12">
        <v>4.0</v>
      </c>
      <c r="P117" s="12">
        <v>10.0</v>
      </c>
    </row>
    <row r="118" ht="22.5" customHeight="1">
      <c r="A118" s="11">
        <v>46224.48698045139</v>
      </c>
      <c r="B118" s="12" t="s">
        <v>18</v>
      </c>
      <c r="C118" s="13">
        <v>46157.0</v>
      </c>
      <c r="D118" s="12" t="s">
        <v>19</v>
      </c>
      <c r="F118" s="12" t="s">
        <v>27</v>
      </c>
      <c r="G118" s="12" t="s">
        <v>90</v>
      </c>
      <c r="H118" s="12">
        <v>3.0</v>
      </c>
      <c r="I118" s="12">
        <v>4.0</v>
      </c>
      <c r="J118" s="12">
        <v>5.0</v>
      </c>
      <c r="K118" s="12">
        <v>4.0</v>
      </c>
      <c r="M118" s="12">
        <v>5.0</v>
      </c>
      <c r="N118" s="12">
        <v>4.0</v>
      </c>
      <c r="O118" s="12">
        <v>5.0</v>
      </c>
      <c r="P118" s="12">
        <v>8.0</v>
      </c>
    </row>
    <row r="119" ht="22.5" customHeight="1">
      <c r="A119" s="11">
        <v>46224.4878206713</v>
      </c>
      <c r="B119" s="12" t="s">
        <v>18</v>
      </c>
      <c r="C119" s="13">
        <v>46149.0</v>
      </c>
      <c r="D119" s="12" t="s">
        <v>19</v>
      </c>
      <c r="F119" s="12" t="s">
        <v>27</v>
      </c>
      <c r="G119" s="12" t="s">
        <v>90</v>
      </c>
      <c r="H119" s="12">
        <v>4.0</v>
      </c>
      <c r="I119" s="12">
        <v>5.0</v>
      </c>
      <c r="J119" s="12">
        <v>5.0</v>
      </c>
      <c r="K119" s="12">
        <v>4.0</v>
      </c>
      <c r="M119" s="12">
        <v>4.0</v>
      </c>
      <c r="N119" s="12">
        <v>4.0</v>
      </c>
      <c r="O119" s="12">
        <v>5.0</v>
      </c>
      <c r="P119" s="12">
        <v>9.0</v>
      </c>
    </row>
    <row r="120" ht="22.5" customHeight="1">
      <c r="A120" s="11">
        <v>46224.48852130787</v>
      </c>
      <c r="B120" s="12" t="s">
        <v>18</v>
      </c>
      <c r="C120" s="13">
        <v>46167.0</v>
      </c>
      <c r="D120" s="12" t="s">
        <v>19</v>
      </c>
      <c r="F120" s="12" t="s">
        <v>80</v>
      </c>
      <c r="G120" s="12" t="s">
        <v>90</v>
      </c>
      <c r="H120" s="12">
        <v>5.0</v>
      </c>
      <c r="I120" s="12">
        <v>4.0</v>
      </c>
      <c r="J120" s="12">
        <v>3.0</v>
      </c>
      <c r="K120" s="12">
        <v>4.0</v>
      </c>
      <c r="M120" s="12">
        <v>4.0</v>
      </c>
      <c r="N120" s="12">
        <v>5.0</v>
      </c>
      <c r="O120" s="12">
        <v>5.0</v>
      </c>
      <c r="P120" s="12">
        <v>9.0</v>
      </c>
    </row>
    <row r="121" ht="22.5" customHeight="1">
      <c r="A121" s="11">
        <v>46224.493201944446</v>
      </c>
      <c r="B121" s="12" t="s">
        <v>18</v>
      </c>
      <c r="C121" s="13">
        <v>46171.0</v>
      </c>
      <c r="D121" s="12" t="s">
        <v>19</v>
      </c>
      <c r="F121" s="12" t="s">
        <v>21</v>
      </c>
      <c r="G121" s="12" t="s">
        <v>90</v>
      </c>
      <c r="H121" s="12">
        <v>4.0</v>
      </c>
      <c r="I121" s="12">
        <v>5.0</v>
      </c>
      <c r="J121" s="12">
        <v>4.0</v>
      </c>
      <c r="K121" s="12">
        <v>4.0</v>
      </c>
      <c r="M121" s="12">
        <v>4.0</v>
      </c>
      <c r="N121" s="12">
        <v>5.0</v>
      </c>
      <c r="O121" s="12">
        <v>4.0</v>
      </c>
      <c r="P121" s="12">
        <v>10.0</v>
      </c>
    </row>
    <row r="122" ht="22.5" customHeight="1">
      <c r="A122" s="11">
        <v>46224.49688453704</v>
      </c>
      <c r="B122" s="12" t="s">
        <v>18</v>
      </c>
      <c r="C122" s="13">
        <v>46233.0</v>
      </c>
      <c r="D122" s="12" t="s">
        <v>19</v>
      </c>
      <c r="F122" s="12" t="s">
        <v>21</v>
      </c>
      <c r="G122" s="12" t="s">
        <v>90</v>
      </c>
      <c r="H122" s="12">
        <v>4.0</v>
      </c>
      <c r="I122" s="12">
        <v>4.0</v>
      </c>
      <c r="J122" s="12">
        <v>5.0</v>
      </c>
      <c r="K122" s="12">
        <v>5.0</v>
      </c>
      <c r="M122" s="12">
        <v>5.0</v>
      </c>
      <c r="N122" s="12">
        <v>5.0</v>
      </c>
      <c r="O122" s="12">
        <v>5.0</v>
      </c>
      <c r="P122" s="12">
        <v>10.0</v>
      </c>
    </row>
    <row r="123" ht="22.5" customHeight="1">
      <c r="A123" s="11">
        <v>46274.41657976852</v>
      </c>
      <c r="B123" s="12" t="s">
        <v>18</v>
      </c>
      <c r="C123" s="13">
        <v>46267.0</v>
      </c>
      <c r="D123" s="12" t="s">
        <v>30</v>
      </c>
      <c r="F123" s="12" t="s">
        <v>27</v>
      </c>
      <c r="G123" s="12" t="s">
        <v>96</v>
      </c>
      <c r="H123" s="12">
        <v>5.0</v>
      </c>
      <c r="I123" s="12">
        <v>5.0</v>
      </c>
      <c r="J123" s="12">
        <v>1.0</v>
      </c>
      <c r="K123" s="12">
        <v>5.0</v>
      </c>
      <c r="L123" s="12">
        <v>1.0</v>
      </c>
      <c r="M123" s="12">
        <v>5.0</v>
      </c>
      <c r="N123" s="12">
        <v>5.0</v>
      </c>
      <c r="O123" s="12">
        <v>5.0</v>
      </c>
      <c r="P123" s="12">
        <v>10.0</v>
      </c>
    </row>
    <row r="124" ht="22.5" customHeight="1">
      <c r="A124" s="11">
        <v>46274.4177472338</v>
      </c>
      <c r="B124" s="12" t="s">
        <v>18</v>
      </c>
      <c r="C124" s="13">
        <v>46201.0</v>
      </c>
      <c r="D124" s="12" t="s">
        <v>19</v>
      </c>
      <c r="F124" s="12" t="s">
        <v>27</v>
      </c>
      <c r="G124" s="12" t="s">
        <v>96</v>
      </c>
      <c r="H124" s="12">
        <v>4.0</v>
      </c>
      <c r="I124" s="12">
        <v>5.0</v>
      </c>
      <c r="J124" s="12">
        <v>1.0</v>
      </c>
      <c r="K124" s="12">
        <v>4.0</v>
      </c>
      <c r="L124" s="12">
        <v>1.0</v>
      </c>
      <c r="M124" s="12">
        <v>4.0</v>
      </c>
      <c r="N124" s="12">
        <v>5.0</v>
      </c>
      <c r="O124" s="12">
        <v>4.0</v>
      </c>
      <c r="P124" s="12">
        <v>9.0</v>
      </c>
    </row>
    <row r="125" ht="22.5" customHeight="1">
      <c r="A125" s="11">
        <v>46274.418940081014</v>
      </c>
      <c r="B125" s="12" t="s">
        <v>18</v>
      </c>
      <c r="C125" s="13">
        <v>46274.0</v>
      </c>
      <c r="D125" s="12" t="s">
        <v>19</v>
      </c>
      <c r="F125" s="12" t="s">
        <v>21</v>
      </c>
      <c r="G125" s="12" t="s">
        <v>96</v>
      </c>
      <c r="H125" s="12">
        <v>3.0</v>
      </c>
      <c r="I125" s="12">
        <v>3.0</v>
      </c>
      <c r="J125" s="12">
        <v>1.0</v>
      </c>
      <c r="K125" s="12">
        <v>3.0</v>
      </c>
      <c r="L125" s="12">
        <v>1.0</v>
      </c>
      <c r="M125" s="12">
        <v>3.0</v>
      </c>
      <c r="N125" s="12">
        <v>3.0</v>
      </c>
      <c r="O125" s="12">
        <v>4.0</v>
      </c>
      <c r="P125" s="12">
        <v>1.0</v>
      </c>
    </row>
    <row r="126" ht="22.5" customHeight="1">
      <c r="A126" s="11">
        <v>46274.4200040162</v>
      </c>
      <c r="B126" s="12" t="s">
        <v>18</v>
      </c>
      <c r="C126" s="13">
        <v>46274.0</v>
      </c>
      <c r="D126" s="12" t="s">
        <v>30</v>
      </c>
      <c r="E126" s="12" t="s">
        <v>45</v>
      </c>
      <c r="F126" s="12" t="s">
        <v>21</v>
      </c>
      <c r="G126" s="12" t="s">
        <v>96</v>
      </c>
      <c r="H126" s="12">
        <v>5.0</v>
      </c>
      <c r="I126" s="12">
        <v>5.0</v>
      </c>
      <c r="J126" s="12">
        <v>1.0</v>
      </c>
      <c r="K126" s="12">
        <v>5.0</v>
      </c>
      <c r="L126" s="12">
        <v>1.0</v>
      </c>
      <c r="M126" s="12">
        <v>5.0</v>
      </c>
      <c r="N126" s="12">
        <v>5.0</v>
      </c>
      <c r="O126" s="12">
        <v>5.0</v>
      </c>
      <c r="P126" s="12">
        <v>7.0</v>
      </c>
    </row>
    <row r="127" ht="22.5" customHeight="1">
      <c r="A127" s="11">
        <v>46274.420911388894</v>
      </c>
      <c r="B127" s="12" t="s">
        <v>18</v>
      </c>
      <c r="C127" s="13">
        <v>46262.0</v>
      </c>
      <c r="D127" s="12" t="s">
        <v>19</v>
      </c>
      <c r="E127" s="12" t="s">
        <v>57</v>
      </c>
      <c r="F127" s="12" t="s">
        <v>21</v>
      </c>
      <c r="G127" s="12" t="s">
        <v>96</v>
      </c>
      <c r="H127" s="12">
        <v>5.0</v>
      </c>
      <c r="I127" s="12">
        <v>5.0</v>
      </c>
      <c r="J127" s="12">
        <v>1.0</v>
      </c>
      <c r="K127" s="12">
        <v>5.0</v>
      </c>
      <c r="L127" s="12">
        <v>1.0</v>
      </c>
      <c r="M127" s="12">
        <v>5.0</v>
      </c>
      <c r="N127" s="12">
        <v>5.0</v>
      </c>
      <c r="O127" s="12">
        <v>5.0</v>
      </c>
      <c r="P127" s="12">
        <v>10.0</v>
      </c>
    </row>
    <row r="128" ht="22.5" customHeight="1">
      <c r="A128" s="11">
        <v>46274.42177359953</v>
      </c>
      <c r="B128" s="12" t="s">
        <v>18</v>
      </c>
      <c r="C128" s="13">
        <v>46274.0</v>
      </c>
      <c r="D128" s="12" t="s">
        <v>19</v>
      </c>
      <c r="F128" s="12" t="s">
        <v>21</v>
      </c>
      <c r="G128" s="12" t="s">
        <v>96</v>
      </c>
      <c r="H128" s="12">
        <v>5.0</v>
      </c>
      <c r="I128" s="12">
        <v>5.0</v>
      </c>
      <c r="J128" s="12">
        <v>1.0</v>
      </c>
      <c r="K128" s="12">
        <v>5.0</v>
      </c>
      <c r="L128" s="12">
        <v>1.0</v>
      </c>
      <c r="M128" s="12">
        <v>5.0</v>
      </c>
      <c r="N128" s="12">
        <v>5.0</v>
      </c>
      <c r="O128" s="12">
        <v>5.0</v>
      </c>
      <c r="P128" s="12">
        <v>10.0</v>
      </c>
    </row>
    <row r="129" ht="22.5" customHeight="1">
      <c r="A129" s="11">
        <v>46274.42342040509</v>
      </c>
      <c r="B129" s="12" t="s">
        <v>18</v>
      </c>
      <c r="C129" s="13">
        <v>46261.0</v>
      </c>
      <c r="D129" s="12" t="s">
        <v>19</v>
      </c>
      <c r="F129" s="12" t="s">
        <v>21</v>
      </c>
      <c r="G129" s="12" t="s">
        <v>96</v>
      </c>
      <c r="H129" s="12">
        <v>5.0</v>
      </c>
      <c r="I129" s="12">
        <v>5.0</v>
      </c>
      <c r="J129" s="12">
        <v>1.0</v>
      </c>
      <c r="K129" s="12">
        <v>5.0</v>
      </c>
      <c r="L129" s="12">
        <v>1.0</v>
      </c>
      <c r="M129" s="12">
        <v>5.0</v>
      </c>
      <c r="N129" s="12">
        <v>5.0</v>
      </c>
      <c r="O129" s="12">
        <v>5.0</v>
      </c>
      <c r="P129" s="12">
        <v>10.0</v>
      </c>
    </row>
    <row r="130" ht="22.5" customHeight="1">
      <c r="A130" s="11">
        <v>46274.42436371528</v>
      </c>
      <c r="B130" s="12" t="s">
        <v>18</v>
      </c>
      <c r="C130" s="13">
        <v>46261.0</v>
      </c>
      <c r="D130" s="12" t="s">
        <v>19</v>
      </c>
      <c r="F130" s="12" t="s">
        <v>21</v>
      </c>
      <c r="G130" s="12" t="s">
        <v>96</v>
      </c>
      <c r="H130" s="12">
        <v>5.0</v>
      </c>
      <c r="I130" s="12">
        <v>5.0</v>
      </c>
      <c r="J130" s="12">
        <v>1.0</v>
      </c>
      <c r="K130" s="12">
        <v>5.0</v>
      </c>
      <c r="L130" s="12">
        <v>1.0</v>
      </c>
      <c r="M130" s="12">
        <v>5.0</v>
      </c>
      <c r="N130" s="12">
        <v>5.0</v>
      </c>
      <c r="O130" s="12">
        <v>5.0</v>
      </c>
      <c r="P130" s="12">
        <v>10.0</v>
      </c>
    </row>
    <row r="131" ht="22.5" customHeight="1">
      <c r="A131" s="11">
        <v>46274.42692837963</v>
      </c>
      <c r="B131" s="12" t="s">
        <v>18</v>
      </c>
      <c r="C131" s="13" t="s">
        <v>97</v>
      </c>
      <c r="D131" s="12" t="s">
        <v>19</v>
      </c>
      <c r="F131" s="12" t="s">
        <v>27</v>
      </c>
      <c r="G131" s="12" t="s">
        <v>96</v>
      </c>
      <c r="H131" s="12">
        <v>4.0</v>
      </c>
      <c r="I131" s="12">
        <v>4.0</v>
      </c>
      <c r="J131" s="12">
        <v>1.0</v>
      </c>
      <c r="K131" s="12">
        <v>5.0</v>
      </c>
      <c r="L131" s="12">
        <v>1.0</v>
      </c>
      <c r="M131" s="12">
        <v>4.0</v>
      </c>
      <c r="N131" s="12">
        <v>5.0</v>
      </c>
      <c r="O131" s="12">
        <v>5.0</v>
      </c>
      <c r="P131" s="12">
        <v>10.0</v>
      </c>
    </row>
    <row r="132" ht="22.5" customHeight="1">
      <c r="A132" s="11">
        <v>46274.42818619213</v>
      </c>
      <c r="B132" s="12" t="s">
        <v>18</v>
      </c>
      <c r="C132" s="13">
        <v>46267.0</v>
      </c>
      <c r="D132" s="12" t="s">
        <v>19</v>
      </c>
      <c r="F132" s="12" t="s">
        <v>27</v>
      </c>
      <c r="G132" s="12" t="s">
        <v>96</v>
      </c>
      <c r="H132" s="12">
        <v>5.0</v>
      </c>
      <c r="I132" s="12">
        <v>4.0</v>
      </c>
      <c r="J132" s="12">
        <v>1.0</v>
      </c>
      <c r="K132" s="12">
        <v>5.0</v>
      </c>
      <c r="L132" s="12">
        <v>1.0</v>
      </c>
      <c r="M132" s="12">
        <v>5.0</v>
      </c>
      <c r="N132" s="12">
        <v>5.0</v>
      </c>
      <c r="O132" s="12">
        <v>5.0</v>
      </c>
      <c r="P132" s="12">
        <v>10.0</v>
      </c>
    </row>
    <row r="133" ht="22.5" customHeight="1">
      <c r="A133" s="11">
        <v>46274.42972747685</v>
      </c>
      <c r="B133" s="12" t="s">
        <v>18</v>
      </c>
      <c r="C133" s="13">
        <v>46261.0</v>
      </c>
      <c r="D133" s="12" t="s">
        <v>19</v>
      </c>
      <c r="F133" s="12" t="s">
        <v>27</v>
      </c>
      <c r="G133" s="12" t="s">
        <v>96</v>
      </c>
      <c r="H133" s="12">
        <v>4.0</v>
      </c>
      <c r="I133" s="12">
        <v>3.0</v>
      </c>
      <c r="J133" s="12">
        <v>1.0</v>
      </c>
      <c r="K133" s="12">
        <v>3.0</v>
      </c>
      <c r="L133" s="12">
        <v>1.0</v>
      </c>
      <c r="M133" s="12">
        <v>4.0</v>
      </c>
      <c r="N133" s="12">
        <v>3.0</v>
      </c>
      <c r="O133" s="12">
        <v>3.0</v>
      </c>
      <c r="P133" s="12">
        <v>10.0</v>
      </c>
    </row>
    <row r="134" ht="22.5" customHeight="1">
      <c r="A134" s="11">
        <v>46274.430508969905</v>
      </c>
      <c r="B134" s="12" t="s">
        <v>18</v>
      </c>
      <c r="C134" s="13">
        <v>46262.0</v>
      </c>
      <c r="D134" s="12" t="s">
        <v>19</v>
      </c>
      <c r="F134" s="12" t="s">
        <v>27</v>
      </c>
      <c r="G134" s="12" t="s">
        <v>96</v>
      </c>
      <c r="H134" s="12">
        <v>5.0</v>
      </c>
      <c r="I134" s="12">
        <v>5.0</v>
      </c>
      <c r="J134" s="12">
        <v>1.0</v>
      </c>
      <c r="K134" s="12">
        <v>5.0</v>
      </c>
      <c r="L134" s="12">
        <v>1.0</v>
      </c>
      <c r="M134" s="12">
        <v>5.0</v>
      </c>
      <c r="N134" s="12">
        <v>5.0</v>
      </c>
      <c r="O134" s="12">
        <v>5.0</v>
      </c>
      <c r="P134" s="12">
        <v>10.0</v>
      </c>
    </row>
    <row r="135" ht="22.5" customHeight="1">
      <c r="A135" s="11">
        <v>46274.43126611111</v>
      </c>
      <c r="B135" s="12" t="s">
        <v>18</v>
      </c>
      <c r="C135" s="13">
        <v>46266.0</v>
      </c>
      <c r="D135" s="12" t="s">
        <v>30</v>
      </c>
      <c r="F135" s="12" t="s">
        <v>27</v>
      </c>
      <c r="G135" s="12" t="s">
        <v>96</v>
      </c>
      <c r="H135" s="12">
        <v>5.0</v>
      </c>
      <c r="I135" s="12">
        <v>5.0</v>
      </c>
      <c r="J135" s="12">
        <v>1.0</v>
      </c>
      <c r="K135" s="12">
        <v>4.0</v>
      </c>
      <c r="L135" s="12">
        <v>1.0</v>
      </c>
      <c r="M135" s="12">
        <v>4.0</v>
      </c>
      <c r="N135" s="12">
        <v>5.0</v>
      </c>
      <c r="O135" s="12">
        <v>5.0</v>
      </c>
      <c r="P135" s="12">
        <v>7.0</v>
      </c>
    </row>
    <row r="136" ht="22.5" customHeight="1">
      <c r="A136" s="11">
        <v>46274.43198127315</v>
      </c>
      <c r="B136" s="12" t="s">
        <v>18</v>
      </c>
      <c r="C136" s="13">
        <v>46274.0</v>
      </c>
      <c r="D136" s="12" t="s">
        <v>19</v>
      </c>
      <c r="F136" s="12" t="s">
        <v>27</v>
      </c>
      <c r="G136" s="12" t="s">
        <v>96</v>
      </c>
      <c r="H136" s="12">
        <v>4.0</v>
      </c>
      <c r="I136" s="12">
        <v>4.0</v>
      </c>
      <c r="J136" s="12">
        <v>1.0</v>
      </c>
      <c r="K136" s="12">
        <v>5.0</v>
      </c>
      <c r="L136" s="12">
        <v>1.0</v>
      </c>
      <c r="M136" s="12">
        <v>5.0</v>
      </c>
      <c r="N136" s="12">
        <v>5.0</v>
      </c>
      <c r="O136" s="12">
        <v>3.0</v>
      </c>
      <c r="P136" s="12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IFERROR(__xludf.DUMMYFUNCTION("FILTER({'Form Responses 1'!A2:A212, 'Form Responses 1'!Q2:Q212, 'Form Responses 1'!R2:R212}, ('Form Responses 1'!Q2:Q212 &lt;&gt; """") + ('Form Responses 1'!R2:R212 &lt;&gt; """"))"),45946.39104033565)</f>
        <v>45946.39104</v>
      </c>
      <c r="B1" s="2" t="str">
        <f>IFERROR(__xludf.DUMMYFUNCTION("""COMPUTED_VALUE"""),"Excellent ")</f>
        <v>Excellent </v>
      </c>
      <c r="C1" s="2" t="str">
        <f>IFERROR(__xludf.DUMMYFUNCTION("""COMPUTED_VALUE"""),"None")</f>
        <v>None</v>
      </c>
    </row>
    <row r="2">
      <c r="A2" s="1">
        <f>IFERROR(__xludf.DUMMYFUNCTION("""COMPUTED_VALUE"""),45946.391041863426)</f>
        <v>45946.39104</v>
      </c>
      <c r="B2" s="2" t="str">
        <f>IFERROR(__xludf.DUMMYFUNCTION("""COMPUTED_VALUE"""),"Excellent ")</f>
        <v>Excellent </v>
      </c>
      <c r="C2" s="2" t="str">
        <f>IFERROR(__xludf.DUMMYFUNCTION("""COMPUTED_VALUE"""),"None")</f>
        <v>None</v>
      </c>
    </row>
    <row r="3">
      <c r="A3" s="1">
        <f>IFERROR(__xludf.DUMMYFUNCTION("""COMPUTED_VALUE"""),45946.39396783565)</f>
        <v>45946.39397</v>
      </c>
      <c r="B3" s="2" t="str">
        <f>IFERROR(__xludf.DUMMYFUNCTION("""COMPUTED_VALUE"""),"It's very professional and the staff and people a to polite, and also they're practicing hospitality and responsible for any transaction in their office")</f>
        <v>It's very professional and the staff and people a to polite, and also they're practicing hospitality and responsible for any transaction in their office</v>
      </c>
      <c r="C3" s="2" t="str">
        <f>IFERROR(__xludf.DUMMYFUNCTION("""COMPUTED_VALUE"""),"None, I can say that they already improved in any circumstances")</f>
        <v>None, I can say that they already improved in any circumstances</v>
      </c>
    </row>
    <row r="4">
      <c r="A4" s="1">
        <f>IFERROR(__xludf.DUMMYFUNCTION("""COMPUTED_VALUE"""),45954.42299723379)</f>
        <v>45954.423</v>
      </c>
      <c r="B4" s="2"/>
      <c r="C4" s="2" t="str">
        <f>IFERROR(__xludf.DUMMYFUNCTION("""COMPUTED_VALUE"""),"QA System")</f>
        <v>QA System</v>
      </c>
    </row>
    <row r="5">
      <c r="A5" s="1">
        <f>IFERROR(__xludf.DUMMYFUNCTION("""COMPUTED_VALUE"""),45967.545400358795)</f>
        <v>45967.5454</v>
      </c>
      <c r="B5" s="2"/>
      <c r="C5" s="2" t="str">
        <f>IFERROR(__xludf.DUMMYFUNCTION("""COMPUTED_VALUE"""),"Salamat kay Lord")</f>
        <v>Salamat kay Lord</v>
      </c>
    </row>
    <row r="6">
      <c r="A6" s="1">
        <f>IFERROR(__xludf.DUMMYFUNCTION("""COMPUTED_VALUE"""),45967.54978912037)</f>
        <v>45967.54979</v>
      </c>
      <c r="B6" s="2"/>
      <c r="C6" s="2" t="str">
        <f>IFERROR(__xludf.DUMMYFUNCTION("""COMPUTED_VALUE"""),"N/A")</f>
        <v>N/A</v>
      </c>
    </row>
    <row r="7">
      <c r="A7" s="1">
        <f>IFERROR(__xludf.DUMMYFUNCTION("""COMPUTED_VALUE"""),45967.552730358795)</f>
        <v>45967.55273</v>
      </c>
      <c r="B7" s="2" t="str">
        <f>IFERROR(__xludf.DUMMYFUNCTION("""COMPUTED_VALUE"""),"Thanks for your hardwork.")</f>
        <v>Thanks for your hardwork.</v>
      </c>
      <c r="C7" s="2"/>
    </row>
    <row r="8">
      <c r="A8" s="1">
        <f>IFERROR(__xludf.DUMMYFUNCTION("""COMPUTED_VALUE"""),45967.55579991898)</f>
        <v>45967.5558</v>
      </c>
      <c r="B8" s="2" t="str">
        <f>IFERROR(__xludf.DUMMYFUNCTION("""COMPUTED_VALUE"""),"None, their service is good and they handle us politely.")</f>
        <v>None, their service is good and they handle us politely.</v>
      </c>
      <c r="C8" s="2"/>
    </row>
    <row r="9">
      <c r="A9" s="1">
        <f>IFERROR(__xludf.DUMMYFUNCTION("""COMPUTED_VALUE"""),45967.57716850695)</f>
        <v>45967.57717</v>
      </c>
      <c r="B9" s="2" t="str">
        <f>IFERROR(__xludf.DUMMYFUNCTION("""COMPUTED_VALUE"""),"very good")</f>
        <v>very good</v>
      </c>
      <c r="C9" s="2"/>
    </row>
    <row r="10">
      <c r="A10" s="1">
        <f>IFERROR(__xludf.DUMMYFUNCTION("""COMPUTED_VALUE"""),45967.6004116088)</f>
        <v>45967.60041</v>
      </c>
      <c r="B10" s="2" t="str">
        <f>IFERROR(__xludf.DUMMYFUNCTION("""COMPUTED_VALUE"""),"Excellent service")</f>
        <v>Excellent service</v>
      </c>
      <c r="C10" s="2"/>
    </row>
    <row r="11">
      <c r="A11" s="1">
        <f>IFERROR(__xludf.DUMMYFUNCTION("""COMPUTED_VALUE"""),45967.611188298615)</f>
        <v>45967.61119</v>
      </c>
      <c r="B11" s="2" t="str">
        <f>IFERROR(__xludf.DUMMYFUNCTION("""COMPUTED_VALUE"""),"None, It's all good. Thank You")</f>
        <v>None, It's all good. Thank You</v>
      </c>
      <c r="C11" s="2"/>
    </row>
    <row r="12">
      <c r="A12" s="1">
        <f>IFERROR(__xludf.DUMMYFUNCTION("""COMPUTED_VALUE"""),45996.609659699076)</f>
        <v>45996.60966</v>
      </c>
      <c r="B12" s="2" t="str">
        <f>IFERROR(__xludf.DUMMYFUNCTION("""COMPUTED_VALUE"""),"None")</f>
        <v>None</v>
      </c>
      <c r="C12" s="2" t="str">
        <f>IFERROR(__xludf.DUMMYFUNCTION("""COMPUTED_VALUE"""),"None")</f>
        <v>None</v>
      </c>
    </row>
    <row r="13">
      <c r="A13" s="1">
        <f>IFERROR(__xludf.DUMMYFUNCTION("""COMPUTED_VALUE"""),45996.610133124996)</f>
        <v>45996.61013</v>
      </c>
      <c r="B13" s="2" t="str">
        <f>IFERROR(__xludf.DUMMYFUNCTION("""COMPUTED_VALUE"""),"Good job.")</f>
        <v>Good job.</v>
      </c>
      <c r="C13" s="2"/>
    </row>
    <row r="14">
      <c r="A14" s="1">
        <f>IFERROR(__xludf.DUMMYFUNCTION("""COMPUTED_VALUE"""),45996.61013990741)</f>
        <v>45996.61014</v>
      </c>
      <c r="B14" s="2" t="str">
        <f>IFERROR(__xludf.DUMMYFUNCTION("""COMPUTED_VALUE"""),"N/A")</f>
        <v>N/A</v>
      </c>
      <c r="C14" s="2" t="str">
        <f>IFERROR(__xludf.DUMMYFUNCTION("""COMPUTED_VALUE"""),"N/A")</f>
        <v>N/A</v>
      </c>
    </row>
    <row r="15">
      <c r="A15" s="1">
        <f>IFERROR(__xludf.DUMMYFUNCTION("""COMPUTED_VALUE"""),45996.610331655094)</f>
        <v>45996.61033</v>
      </c>
      <c r="B15" s="2" t="str">
        <f>IFERROR(__xludf.DUMMYFUNCTION("""COMPUTED_VALUE"""),"None")</f>
        <v>None</v>
      </c>
      <c r="C15" s="2" t="str">
        <f>IFERROR(__xludf.DUMMYFUNCTION("""COMPUTED_VALUE"""),"None")</f>
        <v>None</v>
      </c>
    </row>
    <row r="16">
      <c r="A16" s="1">
        <f>IFERROR(__xludf.DUMMYFUNCTION("""COMPUTED_VALUE"""),45996.6120481713)</f>
        <v>45996.61205</v>
      </c>
      <c r="B16" s="2" t="str">
        <f>IFERROR(__xludf.DUMMYFUNCTION("""COMPUTED_VALUE"""),"Congratulations for the successful activity! ")</f>
        <v>Congratulations for the successful activity! </v>
      </c>
      <c r="C16" s="2"/>
    </row>
    <row r="17">
      <c r="A17" s="1">
        <f>IFERROR(__xludf.DUMMYFUNCTION("""COMPUTED_VALUE"""),45996.61283237269)</f>
        <v>45996.61283</v>
      </c>
      <c r="B17" s="2" t="str">
        <f>IFERROR(__xludf.DUMMYFUNCTION("""COMPUTED_VALUE"""),"Excellent ")</f>
        <v>Excellent </v>
      </c>
      <c r="C17" s="2" t="str">
        <f>IFERROR(__xludf.DUMMYFUNCTION("""COMPUTED_VALUE"""),"More trainings and workshops.")</f>
        <v>More trainings and workshops.</v>
      </c>
    </row>
    <row r="18">
      <c r="A18" s="1">
        <f>IFERROR(__xludf.DUMMYFUNCTION("""COMPUTED_VALUE"""),45996.63052040509)</f>
        <v>45996.63052</v>
      </c>
      <c r="B18" s="2" t="str">
        <f>IFERROR(__xludf.DUMMYFUNCTION("""COMPUTED_VALUE"""),"So good")</f>
        <v>So good</v>
      </c>
      <c r="C18" s="2" t="str">
        <f>IFERROR(__xludf.DUMMYFUNCTION("""COMPUTED_VALUE"""),"Need help to ensure that we able to complied the required documents step by step. Thank you.")</f>
        <v>Need help to ensure that we able to complied the required documents step by step. Thank you.</v>
      </c>
    </row>
    <row r="19">
      <c r="A19" s="1">
        <f>IFERROR(__xludf.DUMMYFUNCTION("""COMPUTED_VALUE"""),45996.65776787037)</f>
        <v>45996.65777</v>
      </c>
      <c r="B19" s="2" t="str">
        <f>IFERROR(__xludf.DUMMYFUNCTION("""COMPUTED_VALUE"""),"Ok lang")</f>
        <v>Ok lang</v>
      </c>
      <c r="C19" s="2" t="str">
        <f>IFERROR(__xludf.DUMMYFUNCTION("""COMPUTED_VALUE"""),"Very goog")</f>
        <v>Very goog</v>
      </c>
    </row>
    <row r="20">
      <c r="A20" s="1">
        <f>IFERROR(__xludf.DUMMYFUNCTION("""COMPUTED_VALUE"""),46219.45081026621)</f>
        <v>46219.45081</v>
      </c>
      <c r="B20" s="2" t="str">
        <f>IFERROR(__xludf.DUMMYFUNCTION("""COMPUTED_VALUE"""),"well provided")</f>
        <v>well provided</v>
      </c>
      <c r="C20" s="2"/>
    </row>
    <row r="21">
      <c r="A21" s="1">
        <f>IFERROR(__xludf.DUMMYFUNCTION("""COMPUTED_VALUE"""),46223.48004015046)</f>
        <v>46223.48004</v>
      </c>
      <c r="B21" s="2" t="str">
        <f>IFERROR(__xludf.DUMMYFUNCTION("""COMPUTED_VALUE"""),"Keep up the good work :)")</f>
        <v>Keep up the good work :)</v>
      </c>
      <c r="C21" s="2"/>
    </row>
  </sheetData>
  <drawing r:id="rId1"/>
</worksheet>
</file>