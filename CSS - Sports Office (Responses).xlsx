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1'!$A$1:$R$89</definedName>
  </definedNames>
  <calcPr/>
</workbook>
</file>

<file path=xl/sharedStrings.xml><?xml version="1.0" encoding="utf-8"?>
<sst xmlns="http://schemas.openxmlformats.org/spreadsheetml/2006/main" count="444" uniqueCount="74">
  <si>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</si>
  <si>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</si>
  <si>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</si>
  <si>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</si>
  <si>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</si>
  <si>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</si>
  <si>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r>
      <t xml:space="preserve">Services Availed:  </t>
    </r>
    <r>
      <rPr>
        <rFont val="Arial"/>
        <b/>
        <color theme="1"/>
      </rPr>
      <t>Sports Office</t>
    </r>
  </si>
  <si>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</si>
  <si>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</si>
  <si>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</si>
  <si>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</si>
  <si>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</si>
  <si>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</si>
  <si>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</si>
  <si>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</si>
  <si>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</si>
  <si>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services provided by the office? </t>
  </si>
  <si>
    <t xml:space="preserve">What are your suggestions to improve customer experience with this office? </t>
  </si>
  <si>
    <t>I AGREE</t>
  </si>
  <si>
    <t>Student</t>
  </si>
  <si>
    <t>Female</t>
  </si>
  <si>
    <t>Scholarship Inquiry</t>
  </si>
  <si>
    <t>Swimmer</t>
  </si>
  <si>
    <t>Male</t>
  </si>
  <si>
    <t>Scholarship Inquiry, Sports Events Inquiry</t>
  </si>
  <si>
    <t>Good</t>
  </si>
  <si>
    <t>Cooperate</t>
  </si>
  <si>
    <t xml:space="preserve">Sports Events Inquiry, </t>
  </si>
  <si>
    <t>Sports Events Inquiry</t>
  </si>
  <si>
    <t>VERYGOOD</t>
  </si>
  <si>
    <t>N/A</t>
  </si>
  <si>
    <t xml:space="preserve">It's good </t>
  </si>
  <si>
    <t>I suggest that if there's a lot of Student line up, add some staff for convenient and Quickly transaction.</t>
  </si>
  <si>
    <t>No comment</t>
  </si>
  <si>
    <t xml:space="preserve">No comment </t>
  </si>
  <si>
    <t>None</t>
  </si>
  <si>
    <t>Very nice</t>
  </si>
  <si>
    <t>More details</t>
  </si>
  <si>
    <t xml:space="preserve">Student </t>
  </si>
  <si>
    <t xml:space="preserve">Good reliable </t>
  </si>
  <si>
    <t>Shs</t>
  </si>
  <si>
    <t xml:space="preserve">Nothing </t>
  </si>
  <si>
    <t>Nothing</t>
  </si>
  <si>
    <t>Fcu</t>
  </si>
  <si>
    <t>to be honest for how many years of being student athlete here sa fcu yanda lg gid ko/kami samon team naka experience sang big support, excellent and quality actions from sports office and big thanks to Sir Rojo for being a good and responsible sports coordinator.</t>
  </si>
  <si>
    <t>I suggest that mas dakuon pa kag hatagan pa space ang sports office because kagamay gid sang office. mina lg. when it comes to services all goods.</t>
  </si>
  <si>
    <t xml:space="preserve">Satisfied student athlete </t>
  </si>
  <si>
    <t>Be more gentle and professional</t>
  </si>
  <si>
    <t>Likewise with my previous answer</t>
  </si>
  <si>
    <t>Overall, the service has been nice and perciece. Staff</t>
  </si>
  <si>
    <t>2/23/0026</t>
  </si>
  <si>
    <t>The sports scholarship is a big help for us athletes, especially since we pay for tuition, training, equipment, and other expenses upfront. However, the delays in releasing the scholarship make it very difficult for us financially.
When the support comes late, we are forced to shoulder everything first, which adds stress and pressure. The scholarship is meant to help us, but it only truly does so if it is released on time or in advance. Timely release would greatly improve the service and show real support for student-athletes.</t>
  </si>
  <si>
    <t>To improve customer experience, the office should release the sports scholarship in advance and on time, not very late.
Students rely on the scholarship for tuition, allowances, and other school expenses. When it is delayed, it creates financial stress and affects their academic and athletic performance. The office should set a fixed release schedule and strictly follow it. If delays are unavoidable, they should clearly inform scholars ahead of time and explain the reason.
Giving the scholarship in advance or at the start of the term shows reliability, professionalism, and genuine support for student-athletes. This will greatly improve trust and satisfaction with the office.</t>
  </si>
  <si>
    <t>Prefer not to say</t>
  </si>
  <si>
    <t>NONE</t>
  </si>
  <si>
    <t>Volleyba</t>
  </si>
  <si>
    <t xml:space="preserve">It is very good </t>
  </si>
  <si>
    <t>Great👍🏻</t>
  </si>
  <si>
    <t xml:space="preserve"> </t>
  </si>
  <si>
    <t xml:space="preserve">Scholarship Inquiry, Sports Events Inquiry, </t>
  </si>
  <si>
    <t>CTE</t>
  </si>
  <si>
    <t>Medical</t>
  </si>
  <si>
    <t>CHTM BSHRM</t>
  </si>
  <si>
    <t>good</t>
  </si>
  <si>
    <t>nothing</t>
  </si>
  <si>
    <t>10/6/0026</t>
  </si>
  <si>
    <t>11/5/0008</t>
  </si>
  <si>
    <t>CAS</t>
  </si>
  <si>
    <t>it's good</t>
  </si>
  <si>
    <t>Its good</t>
  </si>
  <si>
    <t>.</t>
  </si>
  <si>
    <t>BASKETBALL GIRLS</t>
  </si>
  <si>
    <t>FCU</t>
  </si>
  <si>
    <t>CBA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</si>
</sst>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89" displayName="Form_Responses" name="Form_Responses" id="1">
  <autoFilter ref="$A$1:$R$89">
    <filterColumn colId="2">
      <filters>
        <filter val="3/11/2026"/>
        <filter val="10/6/2026"/>
        <filter val="12/17/2003"/>
        <filter val="11/27/2025"/>
        <filter val="10/6/0026"/>
        <filter val="11/5/0008"/>
        <filter val="11/17/2004"/>
        <filter val="12/6/2006"/>
        <filter val="11/28/2025"/>
        <filter val="1/26/2006"/>
        <filter val="2/26/2026"/>
        <filter val="4/13/2026"/>
        <filter val="10/7/2026"/>
        <filter val="9/22/2005"/>
        <filter val="2/25/2026"/>
      </filters>
    </filterColumn>
  </autoFilter>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Sports Office"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27.88"/>
    <col customWidth="1" min="8" max="18" width="37.63"/>
    <col customWidth="1" min="19" max="24"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22.5" customHeight="1">
      <c r="A2" s="4">
        <v>45988.27802349537</v>
      </c>
      <c r="B2" s="5" t="s">
        <v>18</v>
      </c>
      <c r="C2" s="6">
        <v>45988.0</v>
      </c>
      <c r="D2" s="5" t="s">
        <v>19</v>
      </c>
      <c r="E2" s="7"/>
      <c r="F2" s="5" t="s">
        <v>20</v>
      </c>
      <c r="G2" s="5" t="s">
        <v>21</v>
      </c>
      <c r="H2" s="5">
        <v>5.0</v>
      </c>
      <c r="I2" s="5">
        <v>5.0</v>
      </c>
      <c r="J2" s="5">
        <v>5.0</v>
      </c>
      <c r="K2" s="5">
        <v>5.0</v>
      </c>
      <c r="L2" s="5">
        <v>5.0</v>
      </c>
      <c r="M2" s="5">
        <v>5.0</v>
      </c>
      <c r="N2" s="5">
        <v>5.0</v>
      </c>
      <c r="O2" s="5">
        <v>5.0</v>
      </c>
      <c r="P2" s="5">
        <v>5.0</v>
      </c>
      <c r="Q2" s="7"/>
      <c r="R2" s="7"/>
    </row>
    <row r="3" ht="22.5" customHeight="1">
      <c r="A3" s="4">
        <v>45988.293720138885</v>
      </c>
      <c r="B3" s="5" t="s">
        <v>18</v>
      </c>
      <c r="C3" s="6">
        <v>45988.0</v>
      </c>
      <c r="D3" s="5" t="s">
        <v>19</v>
      </c>
      <c r="E3" s="5" t="s">
        <v>22</v>
      </c>
      <c r="F3" s="5" t="s">
        <v>23</v>
      </c>
      <c r="G3" s="5" t="s">
        <v>24</v>
      </c>
      <c r="H3" s="5">
        <v>3.0</v>
      </c>
      <c r="I3" s="5">
        <v>4.0</v>
      </c>
      <c r="J3" s="5">
        <v>5.0</v>
      </c>
      <c r="K3" s="5">
        <v>5.0</v>
      </c>
      <c r="L3" s="5">
        <v>5.0</v>
      </c>
      <c r="M3" s="5">
        <v>5.0</v>
      </c>
      <c r="N3" s="5">
        <v>5.0</v>
      </c>
      <c r="O3" s="5">
        <v>5.0</v>
      </c>
      <c r="P3" s="5">
        <v>10.0</v>
      </c>
      <c r="Q3" s="5" t="s">
        <v>25</v>
      </c>
      <c r="R3" s="5" t="s">
        <v>26</v>
      </c>
    </row>
    <row r="4" ht="22.5" customHeight="1">
      <c r="A4" s="4">
        <v>45988.32589202546</v>
      </c>
      <c r="B4" s="5" t="s">
        <v>18</v>
      </c>
      <c r="C4" s="6">
        <v>45988.0</v>
      </c>
      <c r="D4" s="5" t="s">
        <v>19</v>
      </c>
      <c r="E4" s="7"/>
      <c r="F4" s="5" t="s">
        <v>23</v>
      </c>
      <c r="G4" s="5" t="s">
        <v>27</v>
      </c>
      <c r="H4" s="5">
        <v>5.0</v>
      </c>
      <c r="I4" s="5">
        <v>5.0</v>
      </c>
      <c r="J4" s="5">
        <v>5.0</v>
      </c>
      <c r="K4" s="5">
        <v>5.0</v>
      </c>
      <c r="L4" s="5">
        <v>5.0</v>
      </c>
      <c r="M4" s="5">
        <v>5.0</v>
      </c>
      <c r="N4" s="5">
        <v>4.0</v>
      </c>
      <c r="O4" s="5">
        <v>4.0</v>
      </c>
      <c r="P4" s="5">
        <v>8.0</v>
      </c>
      <c r="Q4" s="7"/>
      <c r="R4" s="7"/>
    </row>
    <row r="5" ht="22.5" customHeight="1">
      <c r="A5" s="4">
        <v>45988.336309791666</v>
      </c>
      <c r="B5" s="5" t="s">
        <v>18</v>
      </c>
      <c r="C5" s="6">
        <v>45988.0</v>
      </c>
      <c r="D5" s="5" t="s">
        <v>19</v>
      </c>
      <c r="E5" s="5">
        <v>20.0</v>
      </c>
      <c r="F5" s="5" t="s">
        <v>20</v>
      </c>
      <c r="G5" s="5" t="s">
        <v>28</v>
      </c>
      <c r="H5" s="5">
        <v>5.0</v>
      </c>
      <c r="I5" s="5">
        <v>4.0</v>
      </c>
      <c r="J5" s="5">
        <v>5.0</v>
      </c>
      <c r="K5" s="5">
        <v>5.0</v>
      </c>
      <c r="L5" s="5">
        <v>5.0</v>
      </c>
      <c r="M5" s="5">
        <v>5.0</v>
      </c>
      <c r="N5" s="5">
        <v>5.0</v>
      </c>
      <c r="O5" s="5">
        <v>5.0</v>
      </c>
      <c r="P5" s="5">
        <v>10.0</v>
      </c>
      <c r="Q5" s="5" t="s">
        <v>29</v>
      </c>
      <c r="R5" s="5" t="s">
        <v>30</v>
      </c>
    </row>
    <row r="6" ht="22.5" customHeight="1">
      <c r="A6" s="4">
        <v>45988.33833863426</v>
      </c>
      <c r="B6" s="5" t="s">
        <v>18</v>
      </c>
      <c r="C6" s="6">
        <v>45988.0</v>
      </c>
      <c r="D6" s="5" t="s">
        <v>19</v>
      </c>
      <c r="E6" s="7"/>
      <c r="F6" s="5" t="s">
        <v>20</v>
      </c>
      <c r="G6" s="5" t="s">
        <v>28</v>
      </c>
      <c r="H6" s="7"/>
      <c r="I6" s="7"/>
      <c r="J6" s="7"/>
      <c r="K6" s="7"/>
      <c r="L6" s="7"/>
      <c r="M6" s="7"/>
      <c r="N6" s="7"/>
      <c r="O6" s="7"/>
      <c r="P6" s="5">
        <v>10.0</v>
      </c>
      <c r="Q6" s="7"/>
      <c r="R6" s="7"/>
    </row>
    <row r="7" ht="22.5" customHeight="1">
      <c r="A7" s="4">
        <v>45988.34054362269</v>
      </c>
      <c r="B7" s="5" t="s">
        <v>18</v>
      </c>
      <c r="C7" s="6">
        <v>45988.0</v>
      </c>
      <c r="D7" s="5" t="s">
        <v>19</v>
      </c>
      <c r="E7" s="7"/>
      <c r="F7" s="5" t="s">
        <v>23</v>
      </c>
      <c r="G7" s="5" t="s">
        <v>28</v>
      </c>
      <c r="H7" s="5">
        <v>5.0</v>
      </c>
      <c r="I7" s="5">
        <v>5.0</v>
      </c>
      <c r="J7" s="5">
        <v>5.0</v>
      </c>
      <c r="K7" s="5">
        <v>5.0</v>
      </c>
      <c r="L7" s="5">
        <v>5.0</v>
      </c>
      <c r="M7" s="5">
        <v>5.0</v>
      </c>
      <c r="N7" s="5">
        <v>5.0</v>
      </c>
      <c r="O7" s="5">
        <v>5.0</v>
      </c>
      <c r="P7" s="5">
        <v>10.0</v>
      </c>
      <c r="Q7" s="5" t="s">
        <v>31</v>
      </c>
      <c r="R7" s="5" t="s">
        <v>32</v>
      </c>
    </row>
    <row r="8" ht="22.5" customHeight="1">
      <c r="A8" s="4">
        <v>45988.349550520834</v>
      </c>
      <c r="B8" s="5" t="s">
        <v>18</v>
      </c>
      <c r="C8" s="6">
        <v>45988.0</v>
      </c>
      <c r="D8" s="5" t="s">
        <v>19</v>
      </c>
      <c r="E8" s="7"/>
      <c r="F8" s="5" t="s">
        <v>20</v>
      </c>
      <c r="G8" s="5" t="s">
        <v>28</v>
      </c>
      <c r="H8" s="7"/>
      <c r="I8" s="7"/>
      <c r="J8" s="7"/>
      <c r="K8" s="7"/>
      <c r="L8" s="7"/>
      <c r="M8" s="5">
        <v>5.0</v>
      </c>
      <c r="N8" s="5">
        <v>5.0</v>
      </c>
      <c r="O8" s="5">
        <v>5.0</v>
      </c>
      <c r="P8" s="5">
        <v>10.0</v>
      </c>
      <c r="Q8" s="7"/>
      <c r="R8" s="7"/>
    </row>
    <row r="9" ht="22.5" customHeight="1">
      <c r="A9" s="4">
        <v>45988.35993116898</v>
      </c>
      <c r="B9" s="5" t="s">
        <v>18</v>
      </c>
      <c r="C9" s="6">
        <v>45988.0</v>
      </c>
      <c r="D9" s="5" t="s">
        <v>19</v>
      </c>
      <c r="E9" s="7"/>
      <c r="F9" s="5" t="s">
        <v>23</v>
      </c>
      <c r="G9" s="5" t="s">
        <v>28</v>
      </c>
      <c r="H9" s="5">
        <v>4.0</v>
      </c>
      <c r="I9" s="5">
        <v>4.0</v>
      </c>
      <c r="J9" s="5">
        <v>4.0</v>
      </c>
      <c r="K9" s="5">
        <v>4.0</v>
      </c>
      <c r="L9" s="5">
        <v>4.0</v>
      </c>
      <c r="M9" s="5">
        <v>4.0</v>
      </c>
      <c r="N9" s="5">
        <v>4.0</v>
      </c>
      <c r="O9" s="5">
        <v>4.0</v>
      </c>
      <c r="P9" s="5">
        <v>9.0</v>
      </c>
      <c r="Q9" s="5" t="s">
        <v>33</v>
      </c>
      <c r="R9" s="5" t="s">
        <v>34</v>
      </c>
    </row>
    <row r="10" ht="22.5" customHeight="1">
      <c r="A10" s="4">
        <v>45988.36025100695</v>
      </c>
      <c r="B10" s="5" t="s">
        <v>18</v>
      </c>
      <c r="C10" s="6">
        <v>45988.0</v>
      </c>
      <c r="D10" s="5" t="s">
        <v>19</v>
      </c>
      <c r="E10" s="7"/>
      <c r="F10" s="5" t="s">
        <v>20</v>
      </c>
      <c r="G10" s="5" t="s">
        <v>24</v>
      </c>
      <c r="H10" s="5">
        <v>5.0</v>
      </c>
      <c r="I10" s="5">
        <v>4.0</v>
      </c>
      <c r="J10" s="5">
        <v>4.0</v>
      </c>
      <c r="K10" s="5">
        <v>3.0</v>
      </c>
      <c r="L10" s="5">
        <v>4.0</v>
      </c>
      <c r="M10" s="5">
        <v>5.0</v>
      </c>
      <c r="N10" s="5">
        <v>3.0</v>
      </c>
      <c r="O10" s="5">
        <v>3.0</v>
      </c>
      <c r="P10" s="5">
        <v>5.0</v>
      </c>
      <c r="Q10" s="7"/>
      <c r="R10" s="7"/>
    </row>
    <row r="11" ht="22.5" customHeight="1">
      <c r="A11" s="4">
        <v>45988.36105112269</v>
      </c>
      <c r="B11" s="5" t="s">
        <v>18</v>
      </c>
      <c r="C11" s="6">
        <v>45988.0</v>
      </c>
      <c r="D11" s="5" t="s">
        <v>19</v>
      </c>
      <c r="E11" s="5" t="s">
        <v>35</v>
      </c>
      <c r="F11" s="5" t="s">
        <v>23</v>
      </c>
      <c r="G11" s="5" t="s">
        <v>21</v>
      </c>
      <c r="H11" s="5">
        <v>3.0</v>
      </c>
      <c r="I11" s="5">
        <v>3.0</v>
      </c>
      <c r="J11" s="5">
        <v>3.0</v>
      </c>
      <c r="K11" s="5">
        <v>4.0</v>
      </c>
      <c r="L11" s="5">
        <v>3.0</v>
      </c>
      <c r="M11" s="5">
        <v>3.0</v>
      </c>
      <c r="N11" s="5">
        <v>4.0</v>
      </c>
      <c r="O11" s="5">
        <v>4.0</v>
      </c>
      <c r="P11" s="5">
        <v>7.0</v>
      </c>
      <c r="Q11" s="5" t="s">
        <v>36</v>
      </c>
      <c r="R11" s="5" t="s">
        <v>37</v>
      </c>
    </row>
    <row r="12" ht="22.5" customHeight="1">
      <c r="A12" s="4">
        <v>45988.38029265046</v>
      </c>
      <c r="B12" s="5" t="s">
        <v>18</v>
      </c>
      <c r="C12" s="6">
        <v>45988.0</v>
      </c>
      <c r="D12" s="5" t="s">
        <v>19</v>
      </c>
      <c r="E12" s="5" t="s">
        <v>38</v>
      </c>
      <c r="F12" s="5" t="s">
        <v>23</v>
      </c>
      <c r="G12" s="5" t="s">
        <v>28</v>
      </c>
      <c r="H12" s="5">
        <v>5.0</v>
      </c>
      <c r="I12" s="5">
        <v>5.0</v>
      </c>
      <c r="J12" s="5">
        <v>5.0</v>
      </c>
      <c r="K12" s="5">
        <v>5.0</v>
      </c>
      <c r="L12" s="5">
        <v>5.0</v>
      </c>
      <c r="M12" s="5">
        <v>5.0</v>
      </c>
      <c r="N12" s="5">
        <v>5.0</v>
      </c>
      <c r="O12" s="5">
        <v>5.0</v>
      </c>
      <c r="P12" s="5">
        <v>10.0</v>
      </c>
      <c r="Q12" s="5" t="s">
        <v>39</v>
      </c>
      <c r="R12" s="7"/>
    </row>
    <row r="13" ht="22.5" customHeight="1">
      <c r="A13" s="4">
        <v>45988.38745692129</v>
      </c>
      <c r="B13" s="5" t="s">
        <v>18</v>
      </c>
      <c r="C13" s="6">
        <v>45988.0</v>
      </c>
      <c r="D13" s="5" t="s">
        <v>19</v>
      </c>
      <c r="E13" s="7"/>
      <c r="F13" s="5" t="s">
        <v>23</v>
      </c>
      <c r="G13" s="5" t="s">
        <v>28</v>
      </c>
      <c r="H13" s="5">
        <v>5.0</v>
      </c>
      <c r="I13" s="5">
        <v>5.0</v>
      </c>
      <c r="J13" s="5">
        <v>5.0</v>
      </c>
      <c r="K13" s="5">
        <v>5.0</v>
      </c>
      <c r="L13" s="5">
        <v>5.0</v>
      </c>
      <c r="M13" s="5">
        <v>5.0</v>
      </c>
      <c r="N13" s="5">
        <v>5.0</v>
      </c>
      <c r="O13" s="5">
        <v>5.0</v>
      </c>
      <c r="P13" s="5">
        <v>10.0</v>
      </c>
      <c r="Q13" s="7"/>
      <c r="R13" s="7"/>
    </row>
    <row r="14" ht="22.5" customHeight="1">
      <c r="A14" s="4">
        <v>45988.4117884375</v>
      </c>
      <c r="B14" s="5" t="s">
        <v>18</v>
      </c>
      <c r="C14" s="6">
        <v>45988.0</v>
      </c>
      <c r="D14" s="5" t="s">
        <v>19</v>
      </c>
      <c r="E14" s="7"/>
      <c r="F14" s="5" t="s">
        <v>23</v>
      </c>
      <c r="G14" s="5" t="s">
        <v>24</v>
      </c>
      <c r="H14" s="5">
        <v>5.0</v>
      </c>
      <c r="I14" s="5">
        <v>5.0</v>
      </c>
      <c r="J14" s="5">
        <v>5.0</v>
      </c>
      <c r="K14" s="5">
        <v>5.0</v>
      </c>
      <c r="L14" s="5">
        <v>5.0</v>
      </c>
      <c r="M14" s="5">
        <v>5.0</v>
      </c>
      <c r="N14" s="5">
        <v>3.0</v>
      </c>
      <c r="O14" s="5">
        <v>5.0</v>
      </c>
      <c r="P14" s="5">
        <v>7.0</v>
      </c>
      <c r="Q14" s="7"/>
      <c r="R14" s="7"/>
    </row>
    <row r="15" ht="22.5" customHeight="1">
      <c r="A15" s="4">
        <v>45988.48163241898</v>
      </c>
      <c r="B15" s="5" t="s">
        <v>18</v>
      </c>
      <c r="C15" s="6">
        <v>45988.0</v>
      </c>
      <c r="D15" s="5" t="s">
        <v>19</v>
      </c>
      <c r="E15" s="7"/>
      <c r="F15" s="5" t="s">
        <v>20</v>
      </c>
      <c r="G15" s="5" t="s">
        <v>24</v>
      </c>
      <c r="H15" s="5">
        <v>5.0</v>
      </c>
      <c r="I15" s="5">
        <v>5.0</v>
      </c>
      <c r="J15" s="5">
        <v>5.0</v>
      </c>
      <c r="K15" s="5">
        <v>5.0</v>
      </c>
      <c r="L15" s="5">
        <v>5.0</v>
      </c>
      <c r="M15" s="5">
        <v>5.0</v>
      </c>
      <c r="N15" s="5">
        <v>5.0</v>
      </c>
      <c r="O15" s="5">
        <v>5.0</v>
      </c>
      <c r="P15" s="5">
        <v>10.0</v>
      </c>
      <c r="Q15" s="7"/>
      <c r="R15" s="7"/>
    </row>
    <row r="16" ht="22.5" customHeight="1">
      <c r="A16" s="4">
        <v>45988.482801377315</v>
      </c>
      <c r="B16" s="5" t="s">
        <v>18</v>
      </c>
      <c r="C16" s="6">
        <v>45988.0</v>
      </c>
      <c r="D16" s="5" t="s">
        <v>19</v>
      </c>
      <c r="E16" s="5" t="s">
        <v>40</v>
      </c>
      <c r="F16" s="5" t="s">
        <v>20</v>
      </c>
      <c r="G16" s="5" t="s">
        <v>21</v>
      </c>
      <c r="H16" s="5">
        <v>3.0</v>
      </c>
      <c r="I16" s="5">
        <v>3.0</v>
      </c>
      <c r="J16" s="5">
        <v>3.0</v>
      </c>
      <c r="K16" s="5">
        <v>3.0</v>
      </c>
      <c r="L16" s="5">
        <v>4.0</v>
      </c>
      <c r="M16" s="5">
        <v>3.0</v>
      </c>
      <c r="N16" s="5">
        <v>3.0</v>
      </c>
      <c r="O16" s="5">
        <v>3.0</v>
      </c>
      <c r="P16" s="5">
        <v>8.0</v>
      </c>
      <c r="Q16" s="5" t="s">
        <v>41</v>
      </c>
      <c r="R16" s="5" t="s">
        <v>42</v>
      </c>
    </row>
    <row r="17" ht="22.5" customHeight="1">
      <c r="A17" s="4">
        <v>45988.486747118055</v>
      </c>
      <c r="B17" s="5" t="s">
        <v>18</v>
      </c>
      <c r="C17" s="6">
        <v>45988.0</v>
      </c>
      <c r="D17" s="5" t="s">
        <v>19</v>
      </c>
      <c r="E17" s="7"/>
      <c r="F17" s="5" t="s">
        <v>23</v>
      </c>
      <c r="G17" s="5" t="s">
        <v>28</v>
      </c>
      <c r="H17" s="5">
        <v>5.0</v>
      </c>
      <c r="I17" s="5">
        <v>5.0</v>
      </c>
      <c r="J17" s="5">
        <v>5.0</v>
      </c>
      <c r="K17" s="5">
        <v>5.0</v>
      </c>
      <c r="L17" s="5">
        <v>5.0</v>
      </c>
      <c r="M17" s="5">
        <v>5.0</v>
      </c>
      <c r="N17" s="5">
        <v>5.0</v>
      </c>
      <c r="O17" s="5">
        <v>5.0</v>
      </c>
      <c r="P17" s="5">
        <v>8.0</v>
      </c>
      <c r="Q17" s="7"/>
      <c r="R17" s="7"/>
    </row>
    <row r="18" ht="22.5" customHeight="1">
      <c r="A18" s="4">
        <v>45988.49338662037</v>
      </c>
      <c r="B18" s="5" t="s">
        <v>18</v>
      </c>
      <c r="C18" s="6">
        <v>45988.0</v>
      </c>
      <c r="D18" s="5" t="s">
        <v>19</v>
      </c>
      <c r="E18" s="7"/>
      <c r="F18" s="5" t="s">
        <v>20</v>
      </c>
      <c r="G18" s="5" t="s">
        <v>24</v>
      </c>
      <c r="H18" s="5">
        <v>4.0</v>
      </c>
      <c r="I18" s="5">
        <v>4.0</v>
      </c>
      <c r="J18" s="5">
        <v>4.0</v>
      </c>
      <c r="K18" s="5">
        <v>3.0</v>
      </c>
      <c r="L18" s="5">
        <v>3.0</v>
      </c>
      <c r="M18" s="5">
        <v>4.0</v>
      </c>
      <c r="N18" s="5">
        <v>4.0</v>
      </c>
      <c r="O18" s="5">
        <v>4.0</v>
      </c>
      <c r="P18" s="5">
        <v>7.0</v>
      </c>
      <c r="Q18" s="7"/>
      <c r="R18" s="7"/>
    </row>
    <row r="19" ht="22.5" customHeight="1">
      <c r="A19" s="4">
        <v>45988.495199074074</v>
      </c>
      <c r="B19" s="5" t="s">
        <v>18</v>
      </c>
      <c r="C19" s="6">
        <v>45988.0</v>
      </c>
      <c r="D19" s="5" t="s">
        <v>19</v>
      </c>
      <c r="E19" s="7"/>
      <c r="F19" s="5" t="s">
        <v>20</v>
      </c>
      <c r="G19" s="5" t="s">
        <v>21</v>
      </c>
      <c r="H19" s="7"/>
      <c r="I19" s="7"/>
      <c r="J19" s="7"/>
      <c r="K19" s="7"/>
      <c r="L19" s="7"/>
      <c r="M19" s="7"/>
      <c r="N19" s="7"/>
      <c r="O19" s="7"/>
      <c r="P19" s="5">
        <v>5.0</v>
      </c>
      <c r="Q19" s="7"/>
      <c r="R19" s="7"/>
    </row>
    <row r="20" ht="22.5" customHeight="1">
      <c r="A20" s="4">
        <v>45988.498572094904</v>
      </c>
      <c r="B20" s="5" t="s">
        <v>18</v>
      </c>
      <c r="C20" s="6">
        <v>45988.0</v>
      </c>
      <c r="D20" s="5" t="s">
        <v>19</v>
      </c>
      <c r="E20" s="7"/>
      <c r="F20" s="5" t="s">
        <v>20</v>
      </c>
      <c r="G20" s="5" t="s">
        <v>24</v>
      </c>
      <c r="H20" s="5">
        <v>3.0</v>
      </c>
      <c r="I20" s="5">
        <v>3.0</v>
      </c>
      <c r="J20" s="5">
        <v>3.0</v>
      </c>
      <c r="K20" s="5">
        <v>3.0</v>
      </c>
      <c r="L20" s="5">
        <v>3.0</v>
      </c>
      <c r="M20" s="5">
        <v>3.0</v>
      </c>
      <c r="N20" s="5">
        <v>3.0</v>
      </c>
      <c r="O20" s="5">
        <v>3.0</v>
      </c>
      <c r="P20" s="5">
        <v>5.0</v>
      </c>
      <c r="Q20" s="7"/>
      <c r="R20" s="7"/>
    </row>
    <row r="21" ht="22.5" customHeight="1">
      <c r="A21" s="4">
        <v>45988.501489664355</v>
      </c>
      <c r="B21" s="5" t="s">
        <v>18</v>
      </c>
      <c r="C21" s="6">
        <v>45988.0</v>
      </c>
      <c r="D21" s="5" t="s">
        <v>19</v>
      </c>
      <c r="E21" s="7"/>
      <c r="F21" s="5" t="s">
        <v>20</v>
      </c>
      <c r="G21" s="5" t="s">
        <v>21</v>
      </c>
      <c r="H21" s="5">
        <v>3.0</v>
      </c>
      <c r="I21" s="5">
        <v>3.0</v>
      </c>
      <c r="J21" s="5">
        <v>3.0</v>
      </c>
      <c r="K21" s="5">
        <v>3.0</v>
      </c>
      <c r="L21" s="5">
        <v>3.0</v>
      </c>
      <c r="M21" s="5">
        <v>3.0</v>
      </c>
      <c r="N21" s="5">
        <v>3.0</v>
      </c>
      <c r="O21" s="5">
        <v>3.0</v>
      </c>
      <c r="P21" s="5">
        <v>5.0</v>
      </c>
      <c r="Q21" s="7"/>
      <c r="R21" s="7"/>
    </row>
    <row r="22" ht="22.5" customHeight="1">
      <c r="A22" s="4">
        <v>45988.503660625</v>
      </c>
      <c r="B22" s="5" t="s">
        <v>18</v>
      </c>
      <c r="C22" s="6">
        <v>45988.0</v>
      </c>
      <c r="D22" s="5" t="s">
        <v>19</v>
      </c>
      <c r="E22" s="7"/>
      <c r="F22" s="5" t="s">
        <v>23</v>
      </c>
      <c r="G22" s="5" t="s">
        <v>21</v>
      </c>
      <c r="H22" s="5">
        <v>5.0</v>
      </c>
      <c r="I22" s="5">
        <v>5.0</v>
      </c>
      <c r="J22" s="5">
        <v>4.0</v>
      </c>
      <c r="K22" s="5">
        <v>4.0</v>
      </c>
      <c r="L22" s="5">
        <v>5.0</v>
      </c>
      <c r="M22" s="5">
        <v>5.0</v>
      </c>
      <c r="N22" s="5">
        <v>5.0</v>
      </c>
      <c r="O22" s="5">
        <v>5.0</v>
      </c>
      <c r="P22" s="5">
        <v>10.0</v>
      </c>
      <c r="Q22" s="7"/>
      <c r="R22" s="7"/>
    </row>
    <row r="23" ht="22.5" customHeight="1">
      <c r="A23" s="4">
        <v>45988.51068936342</v>
      </c>
      <c r="B23" s="5" t="s">
        <v>18</v>
      </c>
      <c r="C23" s="6">
        <v>45988.0</v>
      </c>
      <c r="D23" s="5" t="s">
        <v>19</v>
      </c>
      <c r="E23" s="7"/>
      <c r="F23" s="5" t="s">
        <v>23</v>
      </c>
      <c r="G23" s="5" t="s">
        <v>21</v>
      </c>
      <c r="H23" s="5">
        <v>3.0</v>
      </c>
      <c r="I23" s="5">
        <v>3.0</v>
      </c>
      <c r="J23" s="5">
        <v>4.0</v>
      </c>
      <c r="K23" s="5">
        <v>3.0</v>
      </c>
      <c r="L23" s="5">
        <v>4.0</v>
      </c>
      <c r="M23" s="5">
        <v>3.0</v>
      </c>
      <c r="N23" s="5">
        <v>3.0</v>
      </c>
      <c r="O23" s="5">
        <v>4.0</v>
      </c>
      <c r="P23" s="5">
        <v>7.0</v>
      </c>
      <c r="Q23" s="7"/>
      <c r="R23" s="7"/>
    </row>
    <row r="24" ht="22.5" customHeight="1">
      <c r="A24" s="4">
        <v>45988.51133518519</v>
      </c>
      <c r="B24" s="5" t="s">
        <v>18</v>
      </c>
      <c r="C24" s="6">
        <v>45988.0</v>
      </c>
      <c r="D24" s="5" t="s">
        <v>19</v>
      </c>
      <c r="E24" s="7"/>
      <c r="F24" s="5" t="s">
        <v>23</v>
      </c>
      <c r="G24" s="5" t="s">
        <v>21</v>
      </c>
      <c r="H24" s="5">
        <v>4.0</v>
      </c>
      <c r="I24" s="5">
        <v>4.0</v>
      </c>
      <c r="J24" s="5">
        <v>3.0</v>
      </c>
      <c r="K24" s="5">
        <v>4.0</v>
      </c>
      <c r="L24" s="5">
        <v>4.0</v>
      </c>
      <c r="M24" s="5">
        <v>4.0</v>
      </c>
      <c r="N24" s="5">
        <v>3.0</v>
      </c>
      <c r="O24" s="5">
        <v>4.0</v>
      </c>
      <c r="P24" s="5">
        <v>7.0</v>
      </c>
      <c r="Q24" s="7"/>
      <c r="R24" s="7"/>
    </row>
    <row r="25" ht="22.5" customHeight="1">
      <c r="A25" s="4">
        <v>45988.5169275463</v>
      </c>
      <c r="B25" s="5" t="s">
        <v>18</v>
      </c>
      <c r="C25" s="6">
        <v>45988.0</v>
      </c>
      <c r="D25" s="5" t="s">
        <v>19</v>
      </c>
      <c r="E25" s="5" t="s">
        <v>43</v>
      </c>
      <c r="F25" s="5" t="s">
        <v>23</v>
      </c>
      <c r="G25" s="5" t="s">
        <v>21</v>
      </c>
      <c r="H25" s="5">
        <v>5.0</v>
      </c>
      <c r="I25" s="5">
        <v>5.0</v>
      </c>
      <c r="J25" s="5">
        <v>5.0</v>
      </c>
      <c r="K25" s="5">
        <v>5.0</v>
      </c>
      <c r="L25" s="5">
        <v>5.0</v>
      </c>
      <c r="M25" s="5">
        <v>5.0</v>
      </c>
      <c r="N25" s="5">
        <v>5.0</v>
      </c>
      <c r="O25" s="5">
        <v>5.0</v>
      </c>
      <c r="P25" s="5">
        <v>10.0</v>
      </c>
      <c r="Q25" s="5" t="s">
        <v>44</v>
      </c>
      <c r="R25" s="5" t="s">
        <v>45</v>
      </c>
    </row>
    <row r="26" ht="22.5" customHeight="1">
      <c r="A26" s="4">
        <v>45988.52345115741</v>
      </c>
      <c r="B26" s="5" t="s">
        <v>18</v>
      </c>
      <c r="C26" s="6">
        <v>45988.0</v>
      </c>
      <c r="D26" s="5" t="s">
        <v>19</v>
      </c>
      <c r="E26" s="7"/>
      <c r="F26" s="5" t="s">
        <v>23</v>
      </c>
      <c r="G26" s="5" t="s">
        <v>21</v>
      </c>
      <c r="H26" s="7"/>
      <c r="I26" s="7"/>
      <c r="J26" s="7"/>
      <c r="K26" s="5">
        <v>5.0</v>
      </c>
      <c r="L26" s="5">
        <v>5.0</v>
      </c>
      <c r="M26" s="5">
        <v>5.0</v>
      </c>
      <c r="N26" s="5">
        <v>5.0</v>
      </c>
      <c r="O26" s="5">
        <v>5.0</v>
      </c>
      <c r="P26" s="5">
        <v>10.0</v>
      </c>
      <c r="Q26" s="7"/>
      <c r="R26" s="7"/>
    </row>
    <row r="27" ht="22.5" customHeight="1">
      <c r="A27" s="4">
        <v>45988.54218149306</v>
      </c>
      <c r="B27" s="5" t="s">
        <v>18</v>
      </c>
      <c r="C27" s="6">
        <v>45988.0</v>
      </c>
      <c r="D27" s="5" t="s">
        <v>19</v>
      </c>
      <c r="E27" s="7"/>
      <c r="F27" s="5" t="s">
        <v>20</v>
      </c>
      <c r="G27" s="5" t="s">
        <v>21</v>
      </c>
      <c r="H27" s="7"/>
      <c r="I27" s="7"/>
      <c r="J27" s="5">
        <v>2.0</v>
      </c>
      <c r="K27" s="5">
        <v>2.0</v>
      </c>
      <c r="L27" s="5">
        <v>2.0</v>
      </c>
      <c r="M27" s="5">
        <v>2.0</v>
      </c>
      <c r="N27" s="5">
        <v>2.0</v>
      </c>
      <c r="O27" s="5">
        <v>2.0</v>
      </c>
      <c r="P27" s="5">
        <v>10.0</v>
      </c>
      <c r="Q27" s="7"/>
      <c r="R27" s="7"/>
    </row>
    <row r="28" ht="22.5" customHeight="1">
      <c r="A28" s="4">
        <v>45988.55837013889</v>
      </c>
      <c r="B28" s="5" t="s">
        <v>18</v>
      </c>
      <c r="C28" s="6">
        <v>45988.0</v>
      </c>
      <c r="D28" s="5" t="s">
        <v>19</v>
      </c>
      <c r="E28" s="7"/>
      <c r="F28" s="5" t="s">
        <v>23</v>
      </c>
      <c r="G28" s="5" t="s">
        <v>28</v>
      </c>
      <c r="H28" s="5">
        <v>5.0</v>
      </c>
      <c r="I28" s="5">
        <v>5.0</v>
      </c>
      <c r="J28" s="5">
        <v>5.0</v>
      </c>
      <c r="K28" s="5">
        <v>5.0</v>
      </c>
      <c r="L28" s="5">
        <v>5.0</v>
      </c>
      <c r="M28" s="5">
        <v>5.0</v>
      </c>
      <c r="N28" s="5">
        <v>5.0</v>
      </c>
      <c r="O28" s="5">
        <v>4.0</v>
      </c>
      <c r="P28" s="5">
        <v>10.0</v>
      </c>
      <c r="Q28" s="7"/>
      <c r="R28" s="7"/>
    </row>
    <row r="29" ht="22.5" customHeight="1">
      <c r="A29" s="4">
        <v>45988.57118122686</v>
      </c>
      <c r="B29" s="5" t="s">
        <v>18</v>
      </c>
      <c r="C29" s="6">
        <v>45989.0</v>
      </c>
      <c r="D29" s="5" t="s">
        <v>19</v>
      </c>
      <c r="E29" s="7"/>
      <c r="F29" s="5" t="s">
        <v>23</v>
      </c>
      <c r="G29" s="5" t="s">
        <v>28</v>
      </c>
      <c r="H29" s="5">
        <v>4.0</v>
      </c>
      <c r="I29" s="5">
        <v>4.0</v>
      </c>
      <c r="J29" s="5">
        <v>2.0</v>
      </c>
      <c r="K29" s="5">
        <v>3.0</v>
      </c>
      <c r="L29" s="5">
        <v>4.0</v>
      </c>
      <c r="M29" s="5">
        <v>4.0</v>
      </c>
      <c r="N29" s="5">
        <v>2.0</v>
      </c>
      <c r="O29" s="5">
        <v>3.0</v>
      </c>
      <c r="P29" s="5">
        <v>5.0</v>
      </c>
      <c r="Q29" s="7"/>
      <c r="R29" s="7"/>
    </row>
    <row r="30" ht="22.5" customHeight="1">
      <c r="A30" s="4">
        <v>45988.79080649305</v>
      </c>
      <c r="B30" s="5" t="s">
        <v>18</v>
      </c>
      <c r="C30" s="6">
        <v>45988.0</v>
      </c>
      <c r="D30" s="5" t="s">
        <v>19</v>
      </c>
      <c r="E30" s="7"/>
      <c r="F30" s="5" t="s">
        <v>23</v>
      </c>
      <c r="G30" s="5" t="s">
        <v>21</v>
      </c>
      <c r="H30" s="7"/>
      <c r="I30" s="5">
        <v>5.0</v>
      </c>
      <c r="J30" s="5">
        <v>5.0</v>
      </c>
      <c r="K30" s="5">
        <v>5.0</v>
      </c>
      <c r="L30" s="5">
        <v>5.0</v>
      </c>
      <c r="M30" s="5">
        <v>5.0</v>
      </c>
      <c r="N30" s="5">
        <v>5.0</v>
      </c>
      <c r="O30" s="5">
        <v>5.0</v>
      </c>
      <c r="P30" s="5">
        <v>10.0</v>
      </c>
      <c r="Q30" s="5" t="s">
        <v>46</v>
      </c>
      <c r="R30" s="7"/>
    </row>
    <row r="31" ht="22.5" customHeight="1">
      <c r="A31" s="4">
        <v>45988.808704375</v>
      </c>
      <c r="B31" s="5" t="s">
        <v>18</v>
      </c>
      <c r="C31" s="6">
        <v>45988.0</v>
      </c>
      <c r="D31" s="5" t="s">
        <v>19</v>
      </c>
      <c r="E31" s="7"/>
      <c r="F31" s="5" t="s">
        <v>23</v>
      </c>
      <c r="G31" s="5" t="s">
        <v>28</v>
      </c>
      <c r="H31" s="5">
        <v>5.0</v>
      </c>
      <c r="I31" s="5">
        <v>5.0</v>
      </c>
      <c r="J31" s="5">
        <v>5.0</v>
      </c>
      <c r="K31" s="5">
        <v>5.0</v>
      </c>
      <c r="L31" s="5">
        <v>5.0</v>
      </c>
      <c r="M31" s="5">
        <v>5.0</v>
      </c>
      <c r="N31" s="5">
        <v>3.0</v>
      </c>
      <c r="O31" s="5">
        <v>3.0</v>
      </c>
      <c r="P31" s="5">
        <v>4.0</v>
      </c>
      <c r="Q31" s="5" t="s">
        <v>47</v>
      </c>
      <c r="R31" s="5" t="s">
        <v>48</v>
      </c>
    </row>
    <row r="32" ht="22.5" customHeight="1">
      <c r="A32" s="4">
        <v>45988.81177650463</v>
      </c>
      <c r="B32" s="5" t="s">
        <v>18</v>
      </c>
      <c r="C32" s="6">
        <v>45988.0</v>
      </c>
      <c r="D32" s="5" t="s">
        <v>19</v>
      </c>
      <c r="E32" s="7"/>
      <c r="F32" s="5" t="s">
        <v>20</v>
      </c>
      <c r="G32" s="5" t="s">
        <v>28</v>
      </c>
      <c r="H32" s="5">
        <v>4.0</v>
      </c>
      <c r="I32" s="5">
        <v>4.0</v>
      </c>
      <c r="J32" s="5">
        <v>4.0</v>
      </c>
      <c r="K32" s="5">
        <v>4.0</v>
      </c>
      <c r="L32" s="5">
        <v>4.0</v>
      </c>
      <c r="M32" s="5">
        <v>4.0</v>
      </c>
      <c r="N32" s="5">
        <v>4.0</v>
      </c>
      <c r="O32" s="5">
        <v>4.0</v>
      </c>
      <c r="P32" s="5">
        <v>7.0</v>
      </c>
      <c r="Q32" s="7"/>
      <c r="R32" s="7"/>
    </row>
    <row r="33" ht="22.5" customHeight="1">
      <c r="A33" s="4">
        <v>45988.817270694446</v>
      </c>
      <c r="B33" s="5" t="s">
        <v>18</v>
      </c>
      <c r="C33" s="6">
        <v>45988.0</v>
      </c>
      <c r="D33" s="5" t="s">
        <v>19</v>
      </c>
      <c r="E33" s="7"/>
      <c r="F33" s="5" t="s">
        <v>20</v>
      </c>
      <c r="G33" s="5" t="s">
        <v>28</v>
      </c>
      <c r="H33" s="5">
        <v>5.0</v>
      </c>
      <c r="I33" s="5">
        <v>4.0</v>
      </c>
      <c r="J33" s="5">
        <v>4.0</v>
      </c>
      <c r="K33" s="5">
        <v>4.0</v>
      </c>
      <c r="L33" s="5">
        <v>4.0</v>
      </c>
      <c r="M33" s="5">
        <v>4.0</v>
      </c>
      <c r="N33" s="5">
        <v>4.0</v>
      </c>
      <c r="O33" s="5">
        <v>4.0</v>
      </c>
      <c r="P33" s="5">
        <v>8.0</v>
      </c>
      <c r="Q33" s="7"/>
      <c r="R33" s="7"/>
    </row>
    <row r="34" ht="22.5" customHeight="1">
      <c r="A34" s="4">
        <v>45988.8514297338</v>
      </c>
      <c r="B34" s="5" t="s">
        <v>18</v>
      </c>
      <c r="C34" s="6">
        <v>45988.0</v>
      </c>
      <c r="D34" s="5" t="s">
        <v>19</v>
      </c>
      <c r="E34" s="7"/>
      <c r="F34" s="5" t="s">
        <v>23</v>
      </c>
      <c r="G34" s="5" t="s">
        <v>21</v>
      </c>
      <c r="H34" s="5">
        <v>4.0</v>
      </c>
      <c r="I34" s="5">
        <v>4.0</v>
      </c>
      <c r="J34" s="5">
        <v>5.0</v>
      </c>
      <c r="K34" s="5">
        <v>4.0</v>
      </c>
      <c r="L34" s="5">
        <v>5.0</v>
      </c>
      <c r="M34" s="5">
        <v>4.0</v>
      </c>
      <c r="N34" s="5">
        <v>5.0</v>
      </c>
      <c r="O34" s="5">
        <v>4.0</v>
      </c>
      <c r="P34" s="5">
        <v>8.0</v>
      </c>
      <c r="Q34" s="7"/>
      <c r="R34" s="7"/>
    </row>
    <row r="35" ht="22.5" hidden="1" customHeight="1">
      <c r="A35" s="4">
        <v>45988.92491298611</v>
      </c>
      <c r="B35" s="5" t="s">
        <v>18</v>
      </c>
      <c r="C35" s="6">
        <v>45957.0</v>
      </c>
      <c r="D35" s="5" t="s">
        <v>19</v>
      </c>
      <c r="E35" s="7"/>
      <c r="F35" s="5" t="s">
        <v>23</v>
      </c>
      <c r="G35" s="5" t="s">
        <v>21</v>
      </c>
      <c r="H35" s="5">
        <v>5.0</v>
      </c>
      <c r="I35" s="5">
        <v>5.0</v>
      </c>
      <c r="J35" s="5">
        <v>5.0</v>
      </c>
      <c r="K35" s="5">
        <v>5.0</v>
      </c>
      <c r="L35" s="5">
        <v>5.0</v>
      </c>
      <c r="M35" s="5">
        <v>5.0</v>
      </c>
      <c r="N35" s="5">
        <v>5.0</v>
      </c>
      <c r="O35" s="5">
        <v>5.0</v>
      </c>
      <c r="P35" s="5">
        <v>10.0</v>
      </c>
      <c r="Q35" s="7"/>
      <c r="R35" s="7"/>
    </row>
    <row r="36" ht="22.5" customHeight="1">
      <c r="A36" s="4">
        <v>45989.80625288194</v>
      </c>
      <c r="B36" s="5" t="s">
        <v>18</v>
      </c>
      <c r="C36" s="6">
        <v>45988.0</v>
      </c>
      <c r="D36" s="5" t="s">
        <v>19</v>
      </c>
      <c r="E36" s="7"/>
      <c r="F36" s="5" t="s">
        <v>20</v>
      </c>
      <c r="G36" s="5" t="s">
        <v>28</v>
      </c>
      <c r="H36" s="5">
        <v>4.0</v>
      </c>
      <c r="I36" s="5">
        <v>4.0</v>
      </c>
      <c r="J36" s="5">
        <v>4.0</v>
      </c>
      <c r="K36" s="5">
        <v>4.0</v>
      </c>
      <c r="L36" s="5">
        <v>4.0</v>
      </c>
      <c r="M36" s="5">
        <v>4.0</v>
      </c>
      <c r="N36" s="5">
        <v>4.0</v>
      </c>
      <c r="O36" s="5">
        <v>4.0</v>
      </c>
      <c r="P36" s="5">
        <v>10.0</v>
      </c>
      <c r="Q36" s="7"/>
      <c r="R36" s="7"/>
    </row>
    <row r="37" ht="22.5" hidden="1" customHeight="1">
      <c r="A37" s="8">
        <v>46076.44164903935</v>
      </c>
      <c r="B37" s="9" t="s">
        <v>18</v>
      </c>
      <c r="C37" s="10">
        <v>46076.0</v>
      </c>
      <c r="D37" s="9" t="s">
        <v>19</v>
      </c>
      <c r="F37" s="9" t="s">
        <v>23</v>
      </c>
      <c r="G37" s="9" t="s">
        <v>21</v>
      </c>
      <c r="H37" s="9">
        <v>5.0</v>
      </c>
      <c r="I37" s="9">
        <v>5.0</v>
      </c>
      <c r="J37" s="9">
        <v>5.0</v>
      </c>
      <c r="K37" s="9">
        <v>5.0</v>
      </c>
      <c r="L37" s="9">
        <v>5.0</v>
      </c>
      <c r="M37" s="9">
        <v>5.0</v>
      </c>
      <c r="N37" s="9">
        <v>5.0</v>
      </c>
      <c r="O37" s="9">
        <v>5.0</v>
      </c>
      <c r="P37" s="9">
        <v>10.0</v>
      </c>
    </row>
    <row r="38" ht="22.5" hidden="1" customHeight="1">
      <c r="A38" s="8">
        <v>46076.454143333336</v>
      </c>
      <c r="B38" s="9" t="s">
        <v>18</v>
      </c>
      <c r="C38" s="10">
        <v>46076.0</v>
      </c>
      <c r="D38" s="9" t="s">
        <v>19</v>
      </c>
      <c r="F38" s="9" t="s">
        <v>20</v>
      </c>
      <c r="G38" s="9" t="s">
        <v>24</v>
      </c>
      <c r="H38" s="9">
        <v>5.0</v>
      </c>
      <c r="I38" s="9">
        <v>5.0</v>
      </c>
      <c r="J38" s="9">
        <v>5.0</v>
      </c>
      <c r="K38" s="9">
        <v>5.0</v>
      </c>
      <c r="L38" s="9">
        <v>5.0</v>
      </c>
      <c r="M38" s="9">
        <v>5.0</v>
      </c>
      <c r="N38" s="9">
        <v>5.0</v>
      </c>
      <c r="O38" s="9">
        <v>5.0</v>
      </c>
      <c r="P38" s="9">
        <v>10.0</v>
      </c>
    </row>
    <row r="39" ht="22.5" hidden="1" customHeight="1">
      <c r="A39" s="8">
        <v>46076.492607939814</v>
      </c>
      <c r="B39" s="9" t="s">
        <v>18</v>
      </c>
      <c r="C39" s="10">
        <v>46076.0</v>
      </c>
      <c r="D39" s="9" t="s">
        <v>19</v>
      </c>
      <c r="F39" s="9" t="s">
        <v>20</v>
      </c>
      <c r="G39" s="9" t="s">
        <v>28</v>
      </c>
      <c r="H39" s="9">
        <v>5.0</v>
      </c>
      <c r="I39" s="9">
        <v>5.0</v>
      </c>
      <c r="J39" s="9">
        <v>5.0</v>
      </c>
      <c r="K39" s="9">
        <v>5.0</v>
      </c>
      <c r="L39" s="9">
        <v>5.0</v>
      </c>
      <c r="M39" s="9">
        <v>5.0</v>
      </c>
      <c r="N39" s="9">
        <v>5.0</v>
      </c>
      <c r="O39" s="9">
        <v>5.0</v>
      </c>
      <c r="P39" s="9">
        <v>10.0</v>
      </c>
    </row>
    <row r="40" ht="22.5" hidden="1" customHeight="1">
      <c r="A40" s="8">
        <v>46076.50479479167</v>
      </c>
      <c r="B40" s="9" t="s">
        <v>18</v>
      </c>
      <c r="C40" s="10">
        <v>46076.0</v>
      </c>
      <c r="D40" s="9" t="s">
        <v>19</v>
      </c>
      <c r="F40" s="9" t="s">
        <v>20</v>
      </c>
      <c r="G40" s="9" t="s">
        <v>24</v>
      </c>
      <c r="H40" s="9">
        <v>5.0</v>
      </c>
      <c r="I40" s="9">
        <v>5.0</v>
      </c>
      <c r="J40" s="9">
        <v>4.0</v>
      </c>
      <c r="K40" s="9">
        <v>5.0</v>
      </c>
      <c r="L40" s="9">
        <v>5.0</v>
      </c>
      <c r="M40" s="9">
        <v>5.0</v>
      </c>
      <c r="N40" s="9">
        <v>5.0</v>
      </c>
      <c r="O40" s="9">
        <v>5.0</v>
      </c>
      <c r="P40" s="9">
        <v>10.0</v>
      </c>
      <c r="Q40" s="9" t="s">
        <v>49</v>
      </c>
    </row>
    <row r="41" ht="22.5" hidden="1" customHeight="1">
      <c r="A41" s="8">
        <v>46076.508085497684</v>
      </c>
      <c r="B41" s="9" t="s">
        <v>18</v>
      </c>
      <c r="C41" s="10">
        <v>46076.0</v>
      </c>
      <c r="D41" s="9" t="s">
        <v>19</v>
      </c>
      <c r="E41" s="9" t="s">
        <v>30</v>
      </c>
      <c r="F41" s="9" t="s">
        <v>23</v>
      </c>
      <c r="G41" s="9" t="s">
        <v>21</v>
      </c>
      <c r="H41" s="9">
        <v>3.0</v>
      </c>
      <c r="I41" s="9">
        <v>3.0</v>
      </c>
      <c r="J41" s="9">
        <v>2.0</v>
      </c>
      <c r="K41" s="9">
        <v>3.0</v>
      </c>
      <c r="L41" s="9">
        <v>3.0</v>
      </c>
      <c r="M41" s="9">
        <v>3.0</v>
      </c>
      <c r="N41" s="9">
        <v>3.0</v>
      </c>
      <c r="O41" s="9">
        <v>2.0</v>
      </c>
      <c r="P41" s="9">
        <v>3.0</v>
      </c>
      <c r="Q41" s="9" t="s">
        <v>42</v>
      </c>
    </row>
    <row r="42" ht="22.5" hidden="1" customHeight="1">
      <c r="A42" s="8">
        <v>46076.62126108796</v>
      </c>
      <c r="B42" s="9" t="s">
        <v>18</v>
      </c>
      <c r="C42" s="10">
        <v>46076.0</v>
      </c>
      <c r="D42" s="9" t="s">
        <v>19</v>
      </c>
      <c r="F42" s="9" t="s">
        <v>20</v>
      </c>
      <c r="G42" s="9" t="s">
        <v>21</v>
      </c>
      <c r="H42" s="9">
        <v>5.0</v>
      </c>
      <c r="I42" s="9">
        <v>5.0</v>
      </c>
      <c r="J42" s="9">
        <v>5.0</v>
      </c>
      <c r="K42" s="9">
        <v>5.0</v>
      </c>
      <c r="L42" s="9">
        <v>5.0</v>
      </c>
      <c r="M42" s="9">
        <v>5.0</v>
      </c>
      <c r="N42" s="9">
        <v>5.0</v>
      </c>
      <c r="O42" s="9">
        <v>5.0</v>
      </c>
      <c r="P42" s="9">
        <v>10.0</v>
      </c>
    </row>
    <row r="43" ht="22.5" hidden="1" customHeight="1">
      <c r="A43" s="8">
        <v>46076.87554296297</v>
      </c>
      <c r="B43" s="9" t="s">
        <v>18</v>
      </c>
      <c r="C43" s="10" t="s">
        <v>50</v>
      </c>
      <c r="D43" s="9" t="s">
        <v>19</v>
      </c>
      <c r="F43" s="9" t="s">
        <v>23</v>
      </c>
      <c r="G43" s="9" t="s">
        <v>28</v>
      </c>
      <c r="H43" s="9">
        <v>5.0</v>
      </c>
      <c r="I43" s="9">
        <v>5.0</v>
      </c>
      <c r="J43" s="9">
        <v>5.0</v>
      </c>
      <c r="K43" s="9">
        <v>5.0</v>
      </c>
      <c r="L43" s="9">
        <v>5.0</v>
      </c>
      <c r="M43" s="9">
        <v>5.0</v>
      </c>
      <c r="N43" s="9">
        <v>5.0</v>
      </c>
      <c r="O43" s="9">
        <v>5.0</v>
      </c>
      <c r="P43" s="9">
        <v>10.0</v>
      </c>
    </row>
    <row r="44" ht="22.5" hidden="1" customHeight="1">
      <c r="A44" s="8">
        <v>46077.4065049537</v>
      </c>
      <c r="B44" s="9" t="s">
        <v>18</v>
      </c>
      <c r="C44" s="10">
        <v>46077.0</v>
      </c>
      <c r="D44" s="9" t="s">
        <v>19</v>
      </c>
      <c r="F44" s="9" t="s">
        <v>23</v>
      </c>
      <c r="G44" s="9" t="s">
        <v>21</v>
      </c>
      <c r="H44" s="9">
        <v>2.0</v>
      </c>
      <c r="I44" s="9">
        <v>2.0</v>
      </c>
      <c r="J44" s="9">
        <v>2.0</v>
      </c>
      <c r="K44" s="9">
        <v>2.0</v>
      </c>
      <c r="L44" s="9">
        <v>2.0</v>
      </c>
      <c r="M44" s="9">
        <v>2.0</v>
      </c>
      <c r="N44" s="9">
        <v>4.0</v>
      </c>
      <c r="O44" s="9">
        <v>2.0</v>
      </c>
      <c r="P44" s="9">
        <v>4.0</v>
      </c>
      <c r="Q44" s="9" t="s">
        <v>51</v>
      </c>
      <c r="R44" s="9" t="s">
        <v>52</v>
      </c>
    </row>
    <row r="45" ht="22.5" hidden="1" customHeight="1">
      <c r="A45" s="8">
        <v>46077.408533368056</v>
      </c>
      <c r="B45" s="9" t="s">
        <v>18</v>
      </c>
      <c r="C45" s="10">
        <v>46077.0</v>
      </c>
      <c r="D45" s="9" t="s">
        <v>19</v>
      </c>
      <c r="F45" s="9" t="s">
        <v>20</v>
      </c>
      <c r="G45" s="9" t="s">
        <v>21</v>
      </c>
      <c r="H45" s="9">
        <v>3.0</v>
      </c>
      <c r="I45" s="9">
        <v>3.0</v>
      </c>
      <c r="J45" s="9">
        <v>3.0</v>
      </c>
      <c r="K45" s="9">
        <v>3.0</v>
      </c>
      <c r="L45" s="9">
        <v>3.0</v>
      </c>
      <c r="M45" s="9">
        <v>3.0</v>
      </c>
      <c r="N45" s="9">
        <v>3.0</v>
      </c>
      <c r="O45" s="9">
        <v>3.0</v>
      </c>
      <c r="P45" s="9">
        <v>6.0</v>
      </c>
      <c r="Q45" s="9" t="s">
        <v>35</v>
      </c>
      <c r="R45" s="9" t="s">
        <v>35</v>
      </c>
    </row>
    <row r="46" ht="22.5" hidden="1" customHeight="1">
      <c r="A46" s="8">
        <v>46077.41243328704</v>
      </c>
      <c r="B46" s="9" t="s">
        <v>18</v>
      </c>
      <c r="C46" s="10">
        <v>46077.0</v>
      </c>
      <c r="D46" s="9" t="s">
        <v>19</v>
      </c>
      <c r="E46" s="9">
        <v>27.0</v>
      </c>
      <c r="F46" s="9" t="s">
        <v>20</v>
      </c>
      <c r="G46" s="9" t="s">
        <v>21</v>
      </c>
      <c r="H46" s="9">
        <v>3.0</v>
      </c>
      <c r="I46" s="9">
        <v>3.0</v>
      </c>
      <c r="J46" s="9">
        <v>3.0</v>
      </c>
      <c r="K46" s="9">
        <v>3.0</v>
      </c>
      <c r="L46" s="9">
        <v>2.0</v>
      </c>
      <c r="M46" s="9">
        <v>3.0</v>
      </c>
      <c r="N46" s="9">
        <v>4.0</v>
      </c>
      <c r="O46" s="9">
        <v>3.0</v>
      </c>
      <c r="P46" s="9">
        <v>8.0</v>
      </c>
    </row>
    <row r="47" ht="22.5" hidden="1" customHeight="1">
      <c r="A47" s="8">
        <v>46077.455010324076</v>
      </c>
      <c r="B47" s="9" t="s">
        <v>18</v>
      </c>
      <c r="C47" s="10">
        <v>46077.0</v>
      </c>
      <c r="D47" s="9" t="s">
        <v>19</v>
      </c>
      <c r="E47" s="9">
        <v>26.0</v>
      </c>
      <c r="F47" s="9" t="s">
        <v>23</v>
      </c>
      <c r="G47" s="9" t="s">
        <v>21</v>
      </c>
      <c r="H47" s="9">
        <v>4.0</v>
      </c>
      <c r="I47" s="9">
        <v>4.0</v>
      </c>
      <c r="J47" s="9">
        <v>3.0</v>
      </c>
      <c r="K47" s="9">
        <v>4.0</v>
      </c>
      <c r="L47" s="9">
        <v>3.0</v>
      </c>
      <c r="M47" s="9">
        <v>4.0</v>
      </c>
      <c r="N47" s="9">
        <v>5.0</v>
      </c>
      <c r="O47" s="9">
        <v>4.0</v>
      </c>
      <c r="P47" s="9">
        <v>8.0</v>
      </c>
    </row>
    <row r="48" ht="22.5" hidden="1" customHeight="1">
      <c r="A48" s="8">
        <v>46077.50129017361</v>
      </c>
      <c r="B48" s="9" t="s">
        <v>18</v>
      </c>
      <c r="C48" s="10">
        <v>46077.0</v>
      </c>
      <c r="D48" s="9" t="s">
        <v>19</v>
      </c>
      <c r="E48" s="9" t="s">
        <v>30</v>
      </c>
      <c r="F48" s="9" t="s">
        <v>53</v>
      </c>
      <c r="G48" s="9" t="s">
        <v>21</v>
      </c>
      <c r="H48" s="9">
        <v>5.0</v>
      </c>
      <c r="I48" s="9">
        <v>5.0</v>
      </c>
      <c r="J48" s="9">
        <v>5.0</v>
      </c>
      <c r="K48" s="9">
        <v>5.0</v>
      </c>
      <c r="L48" s="9">
        <v>5.0</v>
      </c>
      <c r="M48" s="9">
        <v>5.0</v>
      </c>
      <c r="N48" s="9">
        <v>5.0</v>
      </c>
      <c r="O48" s="9">
        <v>5.0</v>
      </c>
      <c r="P48" s="9">
        <v>10.0</v>
      </c>
      <c r="Q48" s="9" t="s">
        <v>30</v>
      </c>
      <c r="R48" s="9" t="s">
        <v>35</v>
      </c>
    </row>
    <row r="49" ht="22.5" hidden="1" customHeight="1">
      <c r="A49" s="8">
        <v>46077.506141342594</v>
      </c>
      <c r="B49" s="9" t="s">
        <v>18</v>
      </c>
      <c r="C49" s="10">
        <v>46077.0</v>
      </c>
      <c r="D49" s="9" t="s">
        <v>19</v>
      </c>
      <c r="E49" s="9">
        <v>26.0</v>
      </c>
      <c r="F49" s="9" t="s">
        <v>20</v>
      </c>
      <c r="G49" s="9" t="s">
        <v>21</v>
      </c>
      <c r="H49" s="9">
        <v>3.0</v>
      </c>
      <c r="I49" s="9">
        <v>2.0</v>
      </c>
      <c r="J49" s="9">
        <v>2.0</v>
      </c>
      <c r="K49" s="9">
        <v>3.0</v>
      </c>
      <c r="L49" s="9">
        <v>3.0</v>
      </c>
      <c r="M49" s="9">
        <v>3.0</v>
      </c>
      <c r="N49" s="9">
        <v>3.0</v>
      </c>
      <c r="O49" s="9">
        <v>3.0</v>
      </c>
      <c r="P49" s="9">
        <v>7.0</v>
      </c>
    </row>
    <row r="50" ht="22.5" hidden="1" customHeight="1">
      <c r="A50" s="8">
        <v>46077.53275820602</v>
      </c>
      <c r="B50" s="9" t="s">
        <v>18</v>
      </c>
      <c r="C50" s="10">
        <v>46077.0</v>
      </c>
      <c r="D50" s="9" t="s">
        <v>19</v>
      </c>
      <c r="F50" s="9" t="s">
        <v>23</v>
      </c>
      <c r="G50" s="9" t="s">
        <v>24</v>
      </c>
      <c r="H50" s="9">
        <v>5.0</v>
      </c>
      <c r="I50" s="9">
        <v>4.0</v>
      </c>
      <c r="J50" s="9">
        <v>4.0</v>
      </c>
      <c r="K50" s="9">
        <v>4.0</v>
      </c>
      <c r="L50" s="9">
        <v>4.0</v>
      </c>
      <c r="M50" s="9">
        <v>5.0</v>
      </c>
      <c r="N50" s="9">
        <v>4.0</v>
      </c>
      <c r="O50" s="9">
        <v>4.0</v>
      </c>
      <c r="P50" s="9">
        <v>8.0</v>
      </c>
      <c r="Q50" s="9" t="s">
        <v>54</v>
      </c>
      <c r="R50" s="9" t="s">
        <v>54</v>
      </c>
    </row>
    <row r="51" ht="22.5" hidden="1" customHeight="1">
      <c r="A51" s="8">
        <v>46077.601741921295</v>
      </c>
      <c r="B51" s="9" t="s">
        <v>18</v>
      </c>
      <c r="C51" s="10">
        <v>46077.0</v>
      </c>
      <c r="D51" s="9" t="s">
        <v>19</v>
      </c>
      <c r="F51" s="9" t="s">
        <v>23</v>
      </c>
      <c r="G51" s="9" t="s">
        <v>24</v>
      </c>
      <c r="H51" s="9">
        <v>4.0</v>
      </c>
      <c r="I51" s="9">
        <v>4.0</v>
      </c>
      <c r="J51" s="9">
        <v>4.0</v>
      </c>
      <c r="K51" s="9">
        <v>4.0</v>
      </c>
      <c r="L51" s="9">
        <v>4.0</v>
      </c>
      <c r="M51" s="9">
        <v>4.0</v>
      </c>
      <c r="N51" s="9">
        <v>4.0</v>
      </c>
      <c r="O51" s="9">
        <v>4.0</v>
      </c>
      <c r="P51" s="9">
        <v>9.0</v>
      </c>
    </row>
    <row r="52" ht="22.5" customHeight="1">
      <c r="A52" s="8">
        <v>46078.41972068287</v>
      </c>
      <c r="B52" s="9" t="s">
        <v>18</v>
      </c>
      <c r="C52" s="10">
        <v>46078.0</v>
      </c>
      <c r="D52" s="9" t="s">
        <v>19</v>
      </c>
      <c r="F52" s="9" t="s">
        <v>20</v>
      </c>
      <c r="G52" s="9" t="s">
        <v>21</v>
      </c>
      <c r="H52" s="9">
        <v>4.0</v>
      </c>
      <c r="I52" s="9">
        <v>4.0</v>
      </c>
      <c r="K52" s="9">
        <v>4.0</v>
      </c>
      <c r="M52" s="9">
        <v>4.0</v>
      </c>
      <c r="N52" s="9">
        <v>4.0</v>
      </c>
      <c r="O52" s="9">
        <v>4.0</v>
      </c>
      <c r="P52" s="9">
        <v>7.0</v>
      </c>
    </row>
    <row r="53" ht="22.5" customHeight="1">
      <c r="A53" s="8">
        <v>46079.37730097222</v>
      </c>
      <c r="B53" s="9" t="s">
        <v>18</v>
      </c>
      <c r="C53" s="10">
        <v>46079.0</v>
      </c>
      <c r="D53" s="9" t="s">
        <v>19</v>
      </c>
      <c r="E53" s="9" t="s">
        <v>55</v>
      </c>
      <c r="F53" s="9" t="s">
        <v>53</v>
      </c>
      <c r="G53" s="9" t="s">
        <v>21</v>
      </c>
      <c r="H53" s="9">
        <v>2.0</v>
      </c>
      <c r="I53" s="9">
        <v>2.0</v>
      </c>
      <c r="J53" s="9">
        <v>2.0</v>
      </c>
      <c r="K53" s="9">
        <v>2.0</v>
      </c>
      <c r="L53" s="9">
        <v>4.0</v>
      </c>
      <c r="M53" s="9">
        <v>5.0</v>
      </c>
      <c r="N53" s="9">
        <v>5.0</v>
      </c>
      <c r="O53" s="9">
        <v>3.0</v>
      </c>
      <c r="P53" s="9">
        <v>8.0</v>
      </c>
    </row>
    <row r="54" ht="22.5" customHeight="1">
      <c r="A54" s="8">
        <v>46079.38855106481</v>
      </c>
      <c r="B54" s="9" t="s">
        <v>18</v>
      </c>
      <c r="C54" s="10">
        <v>46079.0</v>
      </c>
      <c r="D54" s="9" t="s">
        <v>19</v>
      </c>
      <c r="F54" s="9" t="s">
        <v>23</v>
      </c>
      <c r="G54" s="9" t="s">
        <v>21</v>
      </c>
      <c r="H54" s="9">
        <v>5.0</v>
      </c>
      <c r="I54" s="9">
        <v>5.0</v>
      </c>
      <c r="J54" s="9">
        <v>5.0</v>
      </c>
      <c r="K54" s="9">
        <v>5.0</v>
      </c>
      <c r="L54" s="9">
        <v>5.0</v>
      </c>
      <c r="M54" s="9">
        <v>5.0</v>
      </c>
      <c r="N54" s="9">
        <v>5.0</v>
      </c>
      <c r="O54" s="9">
        <v>5.0</v>
      </c>
      <c r="P54" s="9">
        <v>10.0</v>
      </c>
      <c r="Q54" s="9" t="s">
        <v>56</v>
      </c>
      <c r="R54" s="9" t="s">
        <v>35</v>
      </c>
    </row>
    <row r="55" ht="22.5" customHeight="1">
      <c r="A55" s="8">
        <v>46079.392229571764</v>
      </c>
      <c r="B55" s="9" t="s">
        <v>18</v>
      </c>
      <c r="C55" s="10">
        <v>46077.0</v>
      </c>
      <c r="D55" s="9" t="s">
        <v>19</v>
      </c>
      <c r="F55" s="9" t="s">
        <v>20</v>
      </c>
      <c r="G55" s="9" t="s">
        <v>21</v>
      </c>
      <c r="H55" s="9">
        <v>4.0</v>
      </c>
      <c r="I55" s="9">
        <v>4.0</v>
      </c>
      <c r="J55" s="9">
        <v>4.0</v>
      </c>
      <c r="K55" s="9">
        <v>4.0</v>
      </c>
      <c r="L55" s="9">
        <v>4.0</v>
      </c>
      <c r="M55" s="9">
        <v>4.0</v>
      </c>
      <c r="N55" s="9">
        <v>4.0</v>
      </c>
      <c r="O55" s="9">
        <v>4.0</v>
      </c>
      <c r="P55" s="9">
        <v>9.0</v>
      </c>
    </row>
    <row r="56" ht="22.5" customHeight="1">
      <c r="A56" s="8">
        <v>46079.40906701389</v>
      </c>
      <c r="B56" s="9" t="s">
        <v>18</v>
      </c>
      <c r="C56" s="10">
        <v>46077.0</v>
      </c>
      <c r="D56" s="9" t="s">
        <v>19</v>
      </c>
      <c r="F56" s="9" t="s">
        <v>20</v>
      </c>
      <c r="G56" s="9" t="s">
        <v>21</v>
      </c>
      <c r="H56" s="9">
        <v>3.0</v>
      </c>
      <c r="I56" s="9">
        <v>3.0</v>
      </c>
      <c r="J56" s="9">
        <v>3.0</v>
      </c>
      <c r="K56" s="9">
        <v>3.0</v>
      </c>
      <c r="L56" s="9">
        <v>3.0</v>
      </c>
      <c r="M56" s="9">
        <v>3.0</v>
      </c>
      <c r="N56" s="9">
        <v>3.0</v>
      </c>
      <c r="O56" s="9">
        <v>3.0</v>
      </c>
      <c r="P56" s="9">
        <v>5.0</v>
      </c>
    </row>
    <row r="57" ht="22.5" customHeight="1">
      <c r="A57" s="8">
        <v>46092.84913383102</v>
      </c>
      <c r="B57" s="9" t="s">
        <v>18</v>
      </c>
      <c r="C57" s="10">
        <v>46092.0</v>
      </c>
      <c r="D57" s="9" t="s">
        <v>19</v>
      </c>
      <c r="F57" s="9" t="s">
        <v>23</v>
      </c>
      <c r="G57" s="9" t="s">
        <v>21</v>
      </c>
      <c r="H57" s="9">
        <v>5.0</v>
      </c>
      <c r="I57" s="9">
        <v>3.0</v>
      </c>
      <c r="J57" s="9">
        <v>3.0</v>
      </c>
      <c r="K57" s="9">
        <v>3.0</v>
      </c>
      <c r="L57" s="9">
        <v>3.0</v>
      </c>
      <c r="M57" s="9">
        <v>3.0</v>
      </c>
      <c r="N57" s="9">
        <v>3.0</v>
      </c>
      <c r="O57" s="9">
        <v>3.0</v>
      </c>
      <c r="P57" s="9">
        <v>8.0</v>
      </c>
    </row>
    <row r="58" ht="22.5" customHeight="1">
      <c r="A58" s="8">
        <v>46125.40548508102</v>
      </c>
      <c r="B58" s="9" t="s">
        <v>18</v>
      </c>
      <c r="C58" s="10">
        <v>46125.0</v>
      </c>
      <c r="D58" s="9" t="s">
        <v>19</v>
      </c>
      <c r="E58" s="9" t="s">
        <v>30</v>
      </c>
      <c r="F58" s="9" t="s">
        <v>20</v>
      </c>
      <c r="G58" s="9" t="s">
        <v>28</v>
      </c>
      <c r="H58" s="9">
        <v>5.0</v>
      </c>
      <c r="I58" s="9">
        <v>5.0</v>
      </c>
      <c r="J58" s="9">
        <v>5.0</v>
      </c>
      <c r="K58" s="9">
        <v>5.0</v>
      </c>
      <c r="L58" s="9">
        <v>5.0</v>
      </c>
      <c r="M58" s="9">
        <v>5.0</v>
      </c>
      <c r="N58" s="9">
        <v>5.0</v>
      </c>
      <c r="O58" s="9">
        <v>5.0</v>
      </c>
      <c r="P58" s="9">
        <v>10.0</v>
      </c>
      <c r="Q58" s="9" t="s">
        <v>25</v>
      </c>
      <c r="R58" s="9" t="s">
        <v>30</v>
      </c>
    </row>
    <row r="59" ht="22.5" customHeight="1">
      <c r="A59" s="8">
        <v>46301.3844340625</v>
      </c>
      <c r="B59" s="9" t="s">
        <v>18</v>
      </c>
      <c r="C59" s="10">
        <v>46301.0</v>
      </c>
      <c r="D59" s="9" t="s">
        <v>19</v>
      </c>
      <c r="E59" s="9" t="s">
        <v>30</v>
      </c>
      <c r="F59" s="9" t="s">
        <v>23</v>
      </c>
      <c r="G59" s="9" t="s">
        <v>21</v>
      </c>
      <c r="H59" s="9">
        <v>5.0</v>
      </c>
      <c r="I59" s="9">
        <v>5.0</v>
      </c>
      <c r="J59" s="9">
        <v>5.0</v>
      </c>
      <c r="K59" s="9">
        <v>5.0</v>
      </c>
      <c r="L59" s="9">
        <v>5.0</v>
      </c>
      <c r="M59" s="9">
        <v>5.0</v>
      </c>
      <c r="N59" s="9">
        <v>5.0</v>
      </c>
      <c r="O59" s="9">
        <v>5.0</v>
      </c>
      <c r="P59" s="9">
        <v>10.0</v>
      </c>
      <c r="Q59" s="9" t="s">
        <v>57</v>
      </c>
      <c r="R59" s="9" t="s">
        <v>58</v>
      </c>
    </row>
    <row r="60" ht="22.5" customHeight="1">
      <c r="A60" s="8">
        <v>46301.39670438657</v>
      </c>
      <c r="B60" s="9" t="s">
        <v>18</v>
      </c>
      <c r="C60" s="10">
        <v>46301.0</v>
      </c>
      <c r="D60" s="9" t="s">
        <v>19</v>
      </c>
      <c r="F60" s="9" t="s">
        <v>23</v>
      </c>
      <c r="G60" s="9" t="s">
        <v>24</v>
      </c>
      <c r="H60" s="9">
        <v>4.0</v>
      </c>
      <c r="I60" s="9">
        <v>4.0</v>
      </c>
      <c r="J60" s="9">
        <v>4.0</v>
      </c>
      <c r="K60" s="9">
        <v>4.0</v>
      </c>
      <c r="L60" s="9">
        <v>4.0</v>
      </c>
      <c r="M60" s="9">
        <v>4.0</v>
      </c>
      <c r="N60" s="9">
        <v>4.0</v>
      </c>
      <c r="O60" s="9">
        <v>4.0</v>
      </c>
      <c r="P60" s="9">
        <v>8.0</v>
      </c>
    </row>
    <row r="61" ht="22.5" customHeight="1">
      <c r="A61" s="8">
        <v>46301.398579050925</v>
      </c>
      <c r="B61" s="9" t="s">
        <v>18</v>
      </c>
      <c r="C61" s="10">
        <v>46301.0</v>
      </c>
      <c r="D61" s="9" t="s">
        <v>19</v>
      </c>
      <c r="F61" s="9" t="s">
        <v>23</v>
      </c>
      <c r="G61" s="9" t="s">
        <v>59</v>
      </c>
      <c r="H61" s="9">
        <v>3.0</v>
      </c>
      <c r="I61" s="9">
        <v>4.0</v>
      </c>
      <c r="J61" s="9">
        <v>3.0</v>
      </c>
      <c r="K61" s="9">
        <v>2.0</v>
      </c>
      <c r="L61" s="9">
        <v>3.0</v>
      </c>
      <c r="M61" s="9">
        <v>3.0</v>
      </c>
      <c r="N61" s="9">
        <v>3.0</v>
      </c>
      <c r="O61" s="9">
        <v>4.0</v>
      </c>
      <c r="P61" s="9">
        <v>5.0</v>
      </c>
    </row>
    <row r="62" ht="22.5" customHeight="1">
      <c r="A62" s="8">
        <v>46301.39858465278</v>
      </c>
      <c r="B62" s="9" t="s">
        <v>18</v>
      </c>
      <c r="C62" s="10">
        <v>46301.0</v>
      </c>
      <c r="D62" s="9" t="s">
        <v>19</v>
      </c>
      <c r="E62" s="9" t="s">
        <v>60</v>
      </c>
      <c r="F62" s="9" t="s">
        <v>20</v>
      </c>
      <c r="G62" s="9" t="s">
        <v>21</v>
      </c>
      <c r="H62" s="9">
        <v>4.0</v>
      </c>
      <c r="I62" s="9">
        <v>4.0</v>
      </c>
      <c r="J62" s="9">
        <v>4.0</v>
      </c>
      <c r="K62" s="9">
        <v>4.0</v>
      </c>
      <c r="L62" s="9">
        <v>4.0</v>
      </c>
      <c r="M62" s="9">
        <v>4.0</v>
      </c>
      <c r="N62" s="9">
        <v>4.0</v>
      </c>
      <c r="O62" s="9">
        <v>4.0</v>
      </c>
      <c r="P62" s="9">
        <v>9.0</v>
      </c>
    </row>
    <row r="63" ht="22.5" customHeight="1">
      <c r="A63" s="8">
        <v>46301.40168393518</v>
      </c>
      <c r="B63" s="9" t="s">
        <v>18</v>
      </c>
      <c r="C63" s="10">
        <v>46301.0</v>
      </c>
      <c r="D63" s="9" t="s">
        <v>19</v>
      </c>
      <c r="F63" s="9" t="s">
        <v>23</v>
      </c>
      <c r="G63" s="9" t="s">
        <v>61</v>
      </c>
      <c r="H63" s="9">
        <v>5.0</v>
      </c>
      <c r="I63" s="9">
        <v>5.0</v>
      </c>
      <c r="J63" s="9">
        <v>5.0</v>
      </c>
      <c r="K63" s="9">
        <v>5.0</v>
      </c>
      <c r="L63" s="9">
        <v>5.0</v>
      </c>
      <c r="M63" s="9">
        <v>5.0</v>
      </c>
      <c r="N63" s="9">
        <v>5.0</v>
      </c>
      <c r="O63" s="9">
        <v>5.0</v>
      </c>
      <c r="P63" s="9">
        <v>10.0</v>
      </c>
    </row>
    <row r="64" ht="22.5" customHeight="1">
      <c r="A64" s="8">
        <v>46301.40583270833</v>
      </c>
      <c r="B64" s="9" t="s">
        <v>18</v>
      </c>
      <c r="C64" s="10">
        <v>46301.0</v>
      </c>
      <c r="D64" s="9" t="s">
        <v>19</v>
      </c>
      <c r="F64" s="9" t="s">
        <v>23</v>
      </c>
      <c r="G64" s="9" t="s">
        <v>61</v>
      </c>
      <c r="H64" s="9">
        <v>5.0</v>
      </c>
      <c r="I64" s="9">
        <v>5.0</v>
      </c>
      <c r="J64" s="9">
        <v>5.0</v>
      </c>
      <c r="K64" s="9">
        <v>5.0</v>
      </c>
      <c r="L64" s="9">
        <v>5.0</v>
      </c>
      <c r="M64" s="9">
        <v>5.0</v>
      </c>
      <c r="N64" s="9">
        <v>5.0</v>
      </c>
      <c r="O64" s="9">
        <v>5.0</v>
      </c>
      <c r="P64" s="9">
        <v>10.0</v>
      </c>
    </row>
    <row r="65" ht="22.5" customHeight="1">
      <c r="A65" s="8">
        <v>46301.40658001158</v>
      </c>
      <c r="B65" s="9" t="s">
        <v>18</v>
      </c>
      <c r="C65" s="10">
        <v>38617.0</v>
      </c>
      <c r="D65" s="9" t="s">
        <v>19</v>
      </c>
      <c r="F65" s="9" t="s">
        <v>20</v>
      </c>
      <c r="G65" s="9" t="s">
        <v>21</v>
      </c>
      <c r="H65" s="9">
        <v>3.0</v>
      </c>
      <c r="I65" s="9">
        <v>3.0</v>
      </c>
      <c r="J65" s="9">
        <v>3.0</v>
      </c>
      <c r="K65" s="9">
        <v>3.0</v>
      </c>
      <c r="L65" s="9">
        <v>4.0</v>
      </c>
      <c r="M65" s="9">
        <v>4.0</v>
      </c>
      <c r="N65" s="9">
        <v>4.0</v>
      </c>
      <c r="O65" s="9">
        <v>4.0</v>
      </c>
      <c r="P65" s="9">
        <v>7.0</v>
      </c>
    </row>
    <row r="66" ht="22.5" customHeight="1">
      <c r="A66" s="8">
        <v>46301.40780068287</v>
      </c>
      <c r="B66" s="9" t="s">
        <v>18</v>
      </c>
      <c r="C66" s="10">
        <v>46301.0</v>
      </c>
      <c r="D66" s="9" t="s">
        <v>19</v>
      </c>
      <c r="F66" s="9" t="s">
        <v>23</v>
      </c>
      <c r="G66" s="9" t="s">
        <v>28</v>
      </c>
      <c r="H66" s="9">
        <v>5.0</v>
      </c>
      <c r="I66" s="9">
        <v>5.0</v>
      </c>
      <c r="J66" s="9">
        <v>4.0</v>
      </c>
      <c r="K66" s="9">
        <v>5.0</v>
      </c>
      <c r="L66" s="9">
        <v>4.0</v>
      </c>
      <c r="M66" s="9">
        <v>5.0</v>
      </c>
      <c r="N66" s="9">
        <v>5.0</v>
      </c>
      <c r="O66" s="9">
        <v>5.0</v>
      </c>
      <c r="P66" s="9">
        <v>10.0</v>
      </c>
    </row>
    <row r="67" ht="22.5" customHeight="1">
      <c r="A67" s="8">
        <v>46301.449382997685</v>
      </c>
      <c r="B67" s="9" t="s">
        <v>18</v>
      </c>
      <c r="C67" s="10">
        <v>46301.0</v>
      </c>
      <c r="D67" s="9" t="s">
        <v>19</v>
      </c>
      <c r="F67" s="9" t="s">
        <v>23</v>
      </c>
      <c r="G67" s="9" t="s">
        <v>21</v>
      </c>
      <c r="H67" s="9">
        <v>4.0</v>
      </c>
      <c r="I67" s="9">
        <v>3.0</v>
      </c>
      <c r="J67" s="9">
        <v>4.0</v>
      </c>
      <c r="K67" s="9">
        <v>3.0</v>
      </c>
      <c r="L67" s="9">
        <v>3.0</v>
      </c>
      <c r="M67" s="9">
        <v>4.0</v>
      </c>
      <c r="N67" s="9">
        <v>3.0</v>
      </c>
      <c r="O67" s="9">
        <v>4.0</v>
      </c>
      <c r="P67" s="9">
        <v>5.0</v>
      </c>
    </row>
    <row r="68" ht="22.5" customHeight="1">
      <c r="A68" s="8">
        <v>46301.50179534723</v>
      </c>
      <c r="B68" s="9" t="s">
        <v>18</v>
      </c>
      <c r="C68" s="10">
        <v>39057.0</v>
      </c>
      <c r="D68" s="9" t="s">
        <v>19</v>
      </c>
      <c r="E68" s="9">
        <v>26.0</v>
      </c>
      <c r="F68" s="9" t="s">
        <v>20</v>
      </c>
      <c r="G68" s="9" t="s">
        <v>28</v>
      </c>
      <c r="H68" s="9">
        <v>3.0</v>
      </c>
      <c r="I68" s="9">
        <v>3.0</v>
      </c>
      <c r="J68" s="9">
        <v>3.0</v>
      </c>
      <c r="K68" s="9">
        <v>3.0</v>
      </c>
      <c r="L68" s="9">
        <v>3.0</v>
      </c>
      <c r="N68" s="9">
        <v>3.0</v>
      </c>
      <c r="O68" s="9">
        <v>3.0</v>
      </c>
      <c r="P68" s="9">
        <v>6.0</v>
      </c>
    </row>
    <row r="69" ht="22.5" customHeight="1">
      <c r="A69" s="8">
        <v>46301.5049153125</v>
      </c>
      <c r="B69" s="9" t="s">
        <v>18</v>
      </c>
      <c r="C69" s="10">
        <v>46301.0</v>
      </c>
      <c r="D69" s="9" t="s">
        <v>19</v>
      </c>
      <c r="E69" s="9" t="s">
        <v>62</v>
      </c>
      <c r="F69" s="9" t="s">
        <v>23</v>
      </c>
      <c r="G69" s="9" t="s">
        <v>28</v>
      </c>
      <c r="H69" s="9">
        <v>5.0</v>
      </c>
      <c r="I69" s="9">
        <v>3.0</v>
      </c>
      <c r="J69" s="9">
        <v>3.0</v>
      </c>
      <c r="K69" s="9">
        <v>5.0</v>
      </c>
      <c r="L69" s="9">
        <v>3.0</v>
      </c>
      <c r="M69" s="9">
        <v>5.0</v>
      </c>
      <c r="N69" s="9">
        <v>5.0</v>
      </c>
      <c r="O69" s="9">
        <v>4.0</v>
      </c>
      <c r="P69" s="9">
        <v>9.0</v>
      </c>
    </row>
    <row r="70" ht="22.5" customHeight="1">
      <c r="A70" s="8">
        <v>46301.51099866898</v>
      </c>
      <c r="B70" s="9" t="s">
        <v>18</v>
      </c>
      <c r="C70" s="10">
        <v>46301.0</v>
      </c>
      <c r="D70" s="9" t="s">
        <v>19</v>
      </c>
      <c r="F70" s="9" t="s">
        <v>20</v>
      </c>
      <c r="G70" s="9" t="s">
        <v>24</v>
      </c>
      <c r="H70" s="9">
        <v>5.0</v>
      </c>
      <c r="I70" s="9">
        <v>5.0</v>
      </c>
      <c r="J70" s="9">
        <v>5.0</v>
      </c>
      <c r="K70" s="9">
        <v>5.0</v>
      </c>
      <c r="L70" s="9">
        <v>5.0</v>
      </c>
      <c r="M70" s="9">
        <v>5.0</v>
      </c>
      <c r="N70" s="9">
        <v>5.0</v>
      </c>
      <c r="O70" s="9">
        <v>5.0</v>
      </c>
      <c r="P70" s="9">
        <v>10.0</v>
      </c>
    </row>
    <row r="71" ht="22.5" customHeight="1">
      <c r="A71" s="8">
        <v>46301.511184884264</v>
      </c>
      <c r="B71" s="9" t="s">
        <v>18</v>
      </c>
      <c r="C71" s="10">
        <v>46301.0</v>
      </c>
      <c r="D71" s="9" t="s">
        <v>19</v>
      </c>
      <c r="F71" s="9" t="s">
        <v>20</v>
      </c>
      <c r="G71" s="9" t="s">
        <v>28</v>
      </c>
      <c r="H71" s="9">
        <v>5.0</v>
      </c>
      <c r="I71" s="9">
        <v>5.0</v>
      </c>
      <c r="J71" s="9">
        <v>5.0</v>
      </c>
      <c r="K71" s="9">
        <v>5.0</v>
      </c>
      <c r="L71" s="9">
        <v>5.0</v>
      </c>
      <c r="M71" s="9">
        <v>5.0</v>
      </c>
      <c r="N71" s="9">
        <v>5.0</v>
      </c>
      <c r="O71" s="9">
        <v>5.0</v>
      </c>
      <c r="P71" s="9">
        <v>10.0</v>
      </c>
      <c r="Q71" s="9" t="s">
        <v>63</v>
      </c>
      <c r="R71" s="9" t="s">
        <v>64</v>
      </c>
    </row>
    <row r="72" ht="22.5" customHeight="1">
      <c r="A72" s="8">
        <v>46301.51264061342</v>
      </c>
      <c r="B72" s="9" t="s">
        <v>18</v>
      </c>
      <c r="C72" s="10">
        <v>46301.0</v>
      </c>
      <c r="D72" s="9" t="s">
        <v>19</v>
      </c>
      <c r="E72" s="9">
        <v>20.0</v>
      </c>
      <c r="F72" s="9" t="s">
        <v>20</v>
      </c>
      <c r="G72" s="9" t="s">
        <v>28</v>
      </c>
      <c r="H72" s="9">
        <v>5.0</v>
      </c>
      <c r="I72" s="9">
        <v>5.0</v>
      </c>
      <c r="J72" s="9">
        <v>5.0</v>
      </c>
      <c r="K72" s="9">
        <v>5.0</v>
      </c>
      <c r="L72" s="9">
        <v>5.0</v>
      </c>
      <c r="M72" s="9">
        <v>5.0</v>
      </c>
      <c r="N72" s="9">
        <v>5.0</v>
      </c>
      <c r="O72" s="9">
        <v>5.0</v>
      </c>
      <c r="P72" s="9">
        <v>10.0</v>
      </c>
      <c r="Q72" s="9" t="s">
        <v>63</v>
      </c>
      <c r="R72" s="9" t="s">
        <v>64</v>
      </c>
    </row>
    <row r="73" ht="22.5" customHeight="1">
      <c r="A73" s="8">
        <v>46301.513285486115</v>
      </c>
      <c r="B73" s="9" t="s">
        <v>18</v>
      </c>
      <c r="C73" s="10" t="s">
        <v>65</v>
      </c>
      <c r="D73" s="9" t="s">
        <v>19</v>
      </c>
      <c r="E73" s="9" t="s">
        <v>30</v>
      </c>
      <c r="F73" s="9" t="s">
        <v>20</v>
      </c>
      <c r="G73" s="9" t="s">
        <v>21</v>
      </c>
      <c r="H73" s="9">
        <v>1.0</v>
      </c>
      <c r="I73" s="9">
        <v>1.0</v>
      </c>
      <c r="J73" s="9">
        <v>1.0</v>
      </c>
      <c r="K73" s="9">
        <v>1.0</v>
      </c>
      <c r="L73" s="9">
        <v>1.0</v>
      </c>
      <c r="M73" s="9">
        <v>1.0</v>
      </c>
      <c r="N73" s="9">
        <v>1.0</v>
      </c>
      <c r="O73" s="9">
        <v>1.0</v>
      </c>
      <c r="P73" s="9">
        <v>1.0</v>
      </c>
      <c r="Q73" s="9" t="s">
        <v>63</v>
      </c>
    </row>
    <row r="74" ht="22.5" customHeight="1">
      <c r="A74" s="8">
        <v>46301.513450439816</v>
      </c>
      <c r="B74" s="9" t="s">
        <v>18</v>
      </c>
      <c r="C74" s="10" t="s">
        <v>66</v>
      </c>
      <c r="D74" s="9" t="s">
        <v>19</v>
      </c>
      <c r="E74" s="9" t="s">
        <v>67</v>
      </c>
      <c r="F74" s="9" t="s">
        <v>20</v>
      </c>
      <c r="G74" s="9" t="s">
        <v>21</v>
      </c>
      <c r="H74" s="9">
        <v>1.0</v>
      </c>
      <c r="I74" s="9">
        <v>4.0</v>
      </c>
      <c r="J74" s="9">
        <v>4.0</v>
      </c>
      <c r="K74" s="9">
        <v>4.0</v>
      </c>
      <c r="L74" s="9">
        <v>4.0</v>
      </c>
      <c r="M74" s="9">
        <v>4.0</v>
      </c>
      <c r="N74" s="9">
        <v>4.0</v>
      </c>
      <c r="O74" s="9">
        <v>4.0</v>
      </c>
      <c r="P74" s="9">
        <v>7.0</v>
      </c>
      <c r="Q74" s="9" t="s">
        <v>68</v>
      </c>
    </row>
    <row r="75" ht="22.5" customHeight="1">
      <c r="A75" s="8">
        <v>46301.51400685185</v>
      </c>
      <c r="B75" s="9" t="s">
        <v>18</v>
      </c>
      <c r="C75" s="10" t="s">
        <v>65</v>
      </c>
      <c r="D75" s="9" t="s">
        <v>19</v>
      </c>
      <c r="E75" s="9" t="s">
        <v>30</v>
      </c>
      <c r="F75" s="9" t="s">
        <v>20</v>
      </c>
      <c r="G75" s="9" t="s">
        <v>21</v>
      </c>
      <c r="H75" s="9">
        <v>1.0</v>
      </c>
      <c r="I75" s="9">
        <v>1.0</v>
      </c>
      <c r="J75" s="9">
        <v>1.0</v>
      </c>
      <c r="K75" s="9">
        <v>1.0</v>
      </c>
      <c r="L75" s="9">
        <v>1.0</v>
      </c>
      <c r="M75" s="9">
        <v>1.0</v>
      </c>
      <c r="N75" s="9">
        <v>1.0</v>
      </c>
      <c r="O75" s="9">
        <v>1.0</v>
      </c>
      <c r="P75" s="9">
        <v>1.0</v>
      </c>
    </row>
    <row r="76" ht="22.5" customHeight="1">
      <c r="A76" s="8">
        <v>46301.51598149305</v>
      </c>
      <c r="B76" s="9" t="s">
        <v>18</v>
      </c>
      <c r="C76" s="10">
        <v>46301.0</v>
      </c>
      <c r="D76" s="9" t="s">
        <v>19</v>
      </c>
      <c r="E76" s="9">
        <v>26.0</v>
      </c>
      <c r="F76" s="9" t="s">
        <v>20</v>
      </c>
      <c r="G76" s="9" t="s">
        <v>28</v>
      </c>
      <c r="H76" s="9">
        <v>4.0</v>
      </c>
      <c r="I76" s="9">
        <v>3.0</v>
      </c>
      <c r="J76" s="9">
        <v>2.0</v>
      </c>
      <c r="K76" s="9">
        <v>3.0</v>
      </c>
      <c r="L76" s="9">
        <v>3.0</v>
      </c>
      <c r="M76" s="9">
        <v>2.0</v>
      </c>
      <c r="N76" s="9">
        <v>2.0</v>
      </c>
      <c r="O76" s="9">
        <v>3.0</v>
      </c>
      <c r="P76" s="9">
        <v>6.0</v>
      </c>
      <c r="Q76" s="9" t="s">
        <v>30</v>
      </c>
      <c r="R76" s="9" t="s">
        <v>30</v>
      </c>
    </row>
    <row r="77" ht="22.5" customHeight="1">
      <c r="A77" s="8">
        <v>46301.522695555555</v>
      </c>
      <c r="B77" s="9" t="s">
        <v>18</v>
      </c>
      <c r="C77" s="10">
        <v>38743.0</v>
      </c>
      <c r="D77" s="9" t="s">
        <v>19</v>
      </c>
      <c r="F77" s="9" t="s">
        <v>20</v>
      </c>
      <c r="G77" s="9" t="s">
        <v>28</v>
      </c>
      <c r="H77" s="9">
        <v>3.0</v>
      </c>
      <c r="I77" s="9">
        <v>3.0</v>
      </c>
      <c r="J77" s="9">
        <v>3.0</v>
      </c>
      <c r="K77" s="9">
        <v>3.0</v>
      </c>
      <c r="L77" s="9">
        <v>4.0</v>
      </c>
      <c r="M77" s="9">
        <v>4.0</v>
      </c>
      <c r="N77" s="9">
        <v>3.0</v>
      </c>
      <c r="O77" s="9">
        <v>4.0</v>
      </c>
      <c r="P77" s="9">
        <v>8.0</v>
      </c>
    </row>
    <row r="78" ht="22.5" customHeight="1">
      <c r="A78" s="8">
        <v>46301.5242242824</v>
      </c>
      <c r="B78" s="9" t="s">
        <v>18</v>
      </c>
      <c r="C78" s="10">
        <v>46301.0</v>
      </c>
      <c r="D78" s="9" t="s">
        <v>19</v>
      </c>
      <c r="E78" s="9">
        <v>18.0</v>
      </c>
      <c r="F78" s="9" t="s">
        <v>20</v>
      </c>
      <c r="G78" s="9" t="s">
        <v>21</v>
      </c>
      <c r="H78" s="9">
        <v>5.0</v>
      </c>
      <c r="I78" s="9">
        <v>5.0</v>
      </c>
      <c r="J78" s="9">
        <v>5.0</v>
      </c>
      <c r="K78" s="9">
        <v>5.0</v>
      </c>
      <c r="L78" s="9">
        <v>5.0</v>
      </c>
      <c r="M78" s="9">
        <v>5.0</v>
      </c>
      <c r="N78" s="9">
        <v>5.0</v>
      </c>
      <c r="O78" s="9">
        <v>5.0</v>
      </c>
      <c r="P78" s="9">
        <v>8.0</v>
      </c>
      <c r="Q78" s="9" t="s">
        <v>69</v>
      </c>
      <c r="R78" s="9" t="s">
        <v>42</v>
      </c>
    </row>
    <row r="79" ht="22.5" customHeight="1">
      <c r="A79" s="8">
        <v>46301.55548354167</v>
      </c>
      <c r="B79" s="9" t="s">
        <v>18</v>
      </c>
      <c r="C79" s="10">
        <v>46301.0</v>
      </c>
      <c r="D79" s="9" t="s">
        <v>19</v>
      </c>
      <c r="F79" s="9" t="s">
        <v>20</v>
      </c>
      <c r="G79" s="9" t="s">
        <v>28</v>
      </c>
      <c r="H79" s="9">
        <v>4.0</v>
      </c>
      <c r="I79" s="9">
        <v>4.0</v>
      </c>
      <c r="J79" s="9">
        <v>3.0</v>
      </c>
      <c r="K79" s="9">
        <v>2.0</v>
      </c>
      <c r="L79" s="9">
        <v>4.0</v>
      </c>
      <c r="M79" s="9">
        <v>4.0</v>
      </c>
      <c r="N79" s="9">
        <v>4.0</v>
      </c>
      <c r="O79" s="9">
        <v>4.0</v>
      </c>
      <c r="P79" s="9">
        <v>8.0</v>
      </c>
    </row>
    <row r="80" ht="22.5" customHeight="1">
      <c r="A80" s="8">
        <v>46301.628657187495</v>
      </c>
      <c r="B80" s="9" t="s">
        <v>18</v>
      </c>
      <c r="C80" s="10">
        <v>37972.0</v>
      </c>
      <c r="D80" s="9" t="s">
        <v>19</v>
      </c>
      <c r="E80" s="9" t="s">
        <v>70</v>
      </c>
      <c r="F80" s="9" t="s">
        <v>20</v>
      </c>
      <c r="G80" s="9" t="s">
        <v>28</v>
      </c>
      <c r="H80" s="9">
        <v>5.0</v>
      </c>
      <c r="I80" s="9">
        <v>5.0</v>
      </c>
      <c r="J80" s="9">
        <v>5.0</v>
      </c>
      <c r="K80" s="9">
        <v>5.0</v>
      </c>
      <c r="L80" s="9">
        <v>5.0</v>
      </c>
      <c r="M80" s="9">
        <v>5.0</v>
      </c>
      <c r="N80" s="9">
        <v>5.0</v>
      </c>
      <c r="O80" s="9">
        <v>5.0</v>
      </c>
      <c r="P80" s="9">
        <v>10.0</v>
      </c>
      <c r="Q80" s="9" t="s">
        <v>70</v>
      </c>
      <c r="R80" s="9" t="s">
        <v>70</v>
      </c>
    </row>
    <row r="81" ht="22.5" customHeight="1">
      <c r="A81" s="8">
        <v>46301.62998861111</v>
      </c>
      <c r="B81" s="9" t="s">
        <v>18</v>
      </c>
      <c r="C81" s="10">
        <v>46301.0</v>
      </c>
      <c r="D81" s="9" t="s">
        <v>19</v>
      </c>
      <c r="F81" s="9" t="s">
        <v>20</v>
      </c>
      <c r="G81" s="9" t="s">
        <v>28</v>
      </c>
      <c r="H81" s="9">
        <v>5.0</v>
      </c>
      <c r="I81" s="9">
        <v>5.0</v>
      </c>
      <c r="J81" s="9">
        <v>5.0</v>
      </c>
      <c r="K81" s="9">
        <v>5.0</v>
      </c>
      <c r="L81" s="9">
        <v>5.0</v>
      </c>
      <c r="M81" s="9">
        <v>5.0</v>
      </c>
      <c r="N81" s="9">
        <v>5.0</v>
      </c>
      <c r="O81" s="9">
        <v>5.0</v>
      </c>
      <c r="P81" s="9">
        <v>10.0</v>
      </c>
      <c r="Q81" s="9" t="s">
        <v>25</v>
      </c>
    </row>
    <row r="82" ht="22.5" customHeight="1">
      <c r="A82" s="8">
        <v>46301.6480378125</v>
      </c>
      <c r="B82" s="9" t="s">
        <v>18</v>
      </c>
      <c r="C82" s="10">
        <v>46301.0</v>
      </c>
      <c r="D82" s="9" t="s">
        <v>19</v>
      </c>
      <c r="E82" s="9" t="s">
        <v>71</v>
      </c>
      <c r="F82" s="9" t="s">
        <v>20</v>
      </c>
      <c r="G82" s="9" t="s">
        <v>24</v>
      </c>
      <c r="H82" s="9">
        <v>3.0</v>
      </c>
      <c r="I82" s="9">
        <v>4.0</v>
      </c>
      <c r="J82" s="9">
        <v>3.0</v>
      </c>
      <c r="K82" s="9">
        <v>5.0</v>
      </c>
      <c r="L82" s="9">
        <v>4.0</v>
      </c>
      <c r="M82" s="9">
        <v>4.0</v>
      </c>
      <c r="N82" s="9">
        <v>4.0</v>
      </c>
      <c r="O82" s="9">
        <v>4.0</v>
      </c>
      <c r="P82" s="9">
        <v>5.0</v>
      </c>
      <c r="Q82" s="9" t="s">
        <v>30</v>
      </c>
      <c r="R82" s="9" t="s">
        <v>30</v>
      </c>
    </row>
    <row r="83" ht="22.5" customHeight="1">
      <c r="A83" s="8">
        <v>46301.72304844907</v>
      </c>
      <c r="B83" s="9" t="s">
        <v>18</v>
      </c>
      <c r="C83" s="10">
        <v>46301.0</v>
      </c>
      <c r="D83" s="9" t="s">
        <v>19</v>
      </c>
      <c r="F83" s="9" t="s">
        <v>20</v>
      </c>
      <c r="G83" s="9" t="s">
        <v>28</v>
      </c>
      <c r="H83" s="9">
        <v>3.0</v>
      </c>
      <c r="I83" s="9">
        <v>2.0</v>
      </c>
      <c r="J83" s="9">
        <v>3.0</v>
      </c>
      <c r="K83" s="9">
        <v>2.0</v>
      </c>
      <c r="L83" s="9">
        <v>3.0</v>
      </c>
      <c r="M83" s="9">
        <v>4.0</v>
      </c>
      <c r="N83" s="9">
        <v>3.0</v>
      </c>
      <c r="O83" s="9">
        <v>3.0</v>
      </c>
      <c r="P83" s="9">
        <v>10.0</v>
      </c>
    </row>
    <row r="84" ht="22.5" customHeight="1">
      <c r="A84" s="8">
        <v>46301.82131453704</v>
      </c>
      <c r="B84" s="9" t="s">
        <v>18</v>
      </c>
      <c r="C84" s="10">
        <v>46301.0</v>
      </c>
      <c r="D84" s="9" t="s">
        <v>19</v>
      </c>
      <c r="E84" s="9">
        <v>26.0</v>
      </c>
      <c r="F84" s="9" t="s">
        <v>20</v>
      </c>
      <c r="G84" s="9" t="s">
        <v>24</v>
      </c>
      <c r="H84" s="9">
        <v>3.0</v>
      </c>
      <c r="I84" s="9">
        <v>3.0</v>
      </c>
      <c r="J84" s="9">
        <v>3.0</v>
      </c>
      <c r="K84" s="9">
        <v>3.0</v>
      </c>
      <c r="L84" s="9">
        <v>3.0</v>
      </c>
      <c r="M84" s="9">
        <v>3.0</v>
      </c>
      <c r="N84" s="9">
        <v>3.0</v>
      </c>
      <c r="O84" s="9">
        <v>3.0</v>
      </c>
      <c r="P84" s="9">
        <v>7.0</v>
      </c>
    </row>
    <row r="85" ht="22.5" customHeight="1">
      <c r="A85" s="8">
        <v>46301.821348067126</v>
      </c>
      <c r="B85" s="9" t="s">
        <v>18</v>
      </c>
      <c r="C85" s="10">
        <v>46301.0</v>
      </c>
      <c r="D85" s="9" t="s">
        <v>19</v>
      </c>
      <c r="E85" s="9" t="s">
        <v>72</v>
      </c>
      <c r="F85" s="9" t="s">
        <v>20</v>
      </c>
      <c r="G85" s="9" t="s">
        <v>24</v>
      </c>
      <c r="H85" s="9">
        <v>5.0</v>
      </c>
      <c r="I85" s="9">
        <v>5.0</v>
      </c>
      <c r="J85" s="9">
        <v>5.0</v>
      </c>
      <c r="K85" s="9">
        <v>5.0</v>
      </c>
      <c r="M85" s="9">
        <v>5.0</v>
      </c>
      <c r="N85" s="9">
        <v>5.0</v>
      </c>
      <c r="O85" s="9">
        <v>5.0</v>
      </c>
      <c r="P85" s="9">
        <v>10.0</v>
      </c>
    </row>
    <row r="86" ht="22.5" customHeight="1">
      <c r="A86" s="8">
        <v>46302.479998194445</v>
      </c>
      <c r="B86" s="9" t="s">
        <v>18</v>
      </c>
      <c r="C86" s="10">
        <v>46302.0</v>
      </c>
      <c r="D86" s="9" t="s">
        <v>19</v>
      </c>
      <c r="F86" s="9" t="s">
        <v>23</v>
      </c>
      <c r="G86" s="9" t="s">
        <v>28</v>
      </c>
      <c r="H86" s="9">
        <v>5.0</v>
      </c>
      <c r="I86" s="9">
        <v>5.0</v>
      </c>
      <c r="J86" s="9">
        <v>5.0</v>
      </c>
      <c r="K86" s="9">
        <v>5.0</v>
      </c>
      <c r="L86" s="9">
        <v>5.0</v>
      </c>
      <c r="M86" s="9">
        <v>5.0</v>
      </c>
      <c r="N86" s="9">
        <v>5.0</v>
      </c>
      <c r="O86" s="9">
        <v>5.0</v>
      </c>
      <c r="P86" s="9">
        <v>10.0</v>
      </c>
    </row>
    <row r="87" ht="22.5" customHeight="1">
      <c r="A87" s="8">
        <v>46302.49687181713</v>
      </c>
      <c r="B87" s="9" t="s">
        <v>18</v>
      </c>
      <c r="C87" s="10">
        <v>46302.0</v>
      </c>
      <c r="D87" s="9" t="s">
        <v>19</v>
      </c>
      <c r="E87" s="9">
        <v>26.0</v>
      </c>
      <c r="F87" s="9" t="s">
        <v>23</v>
      </c>
      <c r="G87" s="9" t="s">
        <v>24</v>
      </c>
      <c r="H87" s="9">
        <v>5.0</v>
      </c>
      <c r="I87" s="9">
        <v>5.0</v>
      </c>
      <c r="J87" s="9">
        <v>5.0</v>
      </c>
      <c r="K87" s="9">
        <v>5.0</v>
      </c>
      <c r="L87" s="9">
        <v>3.0</v>
      </c>
      <c r="M87" s="9">
        <v>5.0</v>
      </c>
      <c r="N87" s="9">
        <v>5.0</v>
      </c>
      <c r="O87" s="9">
        <v>5.0</v>
      </c>
      <c r="P87" s="9">
        <v>7.0</v>
      </c>
    </row>
    <row r="88" ht="22.5" customHeight="1">
      <c r="A88" s="8">
        <v>46302.56028262731</v>
      </c>
      <c r="B88" s="9" t="s">
        <v>18</v>
      </c>
      <c r="C88" s="10">
        <v>46302.0</v>
      </c>
      <c r="D88" s="9" t="s">
        <v>19</v>
      </c>
      <c r="E88" s="9" t="s">
        <v>73</v>
      </c>
      <c r="F88" s="9" t="s">
        <v>23</v>
      </c>
      <c r="G88" s="9" t="s">
        <v>28</v>
      </c>
      <c r="H88" s="9">
        <v>5.0</v>
      </c>
      <c r="I88" s="9">
        <v>5.0</v>
      </c>
      <c r="J88" s="9">
        <v>4.0</v>
      </c>
      <c r="K88" s="9">
        <v>4.0</v>
      </c>
      <c r="L88" s="9">
        <v>5.0</v>
      </c>
      <c r="M88" s="9">
        <v>4.0</v>
      </c>
      <c r="N88" s="9">
        <v>5.0</v>
      </c>
      <c r="O88" s="9">
        <v>4.0</v>
      </c>
      <c r="P88" s="9">
        <v>10.0</v>
      </c>
    </row>
    <row r="89" ht="22.5" customHeight="1">
      <c r="A89" s="8">
        <v>46306.33930086806</v>
      </c>
      <c r="B89" s="9" t="s">
        <v>18</v>
      </c>
      <c r="C89" s="10">
        <v>38308.0</v>
      </c>
      <c r="D89" s="9" t="s">
        <v>19</v>
      </c>
      <c r="F89" s="9" t="s">
        <v>20</v>
      </c>
      <c r="G89" s="9" t="s">
        <v>24</v>
      </c>
      <c r="H89" s="9">
        <v>3.0</v>
      </c>
      <c r="I89" s="9">
        <v>3.0</v>
      </c>
      <c r="J89" s="9">
        <v>3.0</v>
      </c>
      <c r="K89" s="9">
        <v>3.0</v>
      </c>
      <c r="L89" s="9">
        <v>3.0</v>
      </c>
      <c r="M89" s="9">
        <v>3.0</v>
      </c>
      <c r="N89" s="9">
        <v>3.0</v>
      </c>
      <c r="O89" s="9">
        <v>3.0</v>
      </c>
      <c r="P89" s="9">
        <v>6.0</v>
      </c>
      <c r="Q89" s="9" t="s">
        <v>63</v>
      </c>
      <c r="R89" s="9" t="s">
        <v>30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1'!A2:A173, 'Form Responses 1'!Q2:Q173, 'Form Responses 1'!R2:R173}, ('Form Responses 1'!Q2:Q173 &lt;&gt; """") + ('Form Responses 1'!R2:R173 &lt;&gt; """"))"),45988.293720138885)</f>
        <v>45988.29372</v>
      </c>
      <c r="B1" s="2" t="str">
        <f>IFERROR(__xludf.DUMMYFUNCTION("""COMPUTED_VALUE"""),"Good")</f>
        <v>Good</v>
      </c>
      <c r="C1" s="2" t="str">
        <f>IFERROR(__xludf.DUMMYFUNCTION("""COMPUTED_VALUE"""),"Cooperate")</f>
        <v>Cooperate</v>
      </c>
    </row>
    <row r="2">
      <c r="A2" s="1">
        <f>IFERROR(__xludf.DUMMYFUNCTION("""COMPUTED_VALUE"""),45988.336309791666)</f>
        <v>45988.33631</v>
      </c>
      <c r="B2" s="2" t="str">
        <f>IFERROR(__xludf.DUMMYFUNCTION("""COMPUTED_VALUE"""),"VERYGOOD")</f>
        <v>VERYGOOD</v>
      </c>
      <c r="C2" s="2" t="str">
        <f>IFERROR(__xludf.DUMMYFUNCTION("""COMPUTED_VALUE"""),"N/A")</f>
        <v>N/A</v>
      </c>
    </row>
    <row r="3">
      <c r="A3" s="1">
        <f>IFERROR(__xludf.DUMMYFUNCTION("""COMPUTED_VALUE"""),45988.34054362269)</f>
        <v>45988.34054</v>
      </c>
      <c r="B3" s="2" t="str">
        <f>IFERROR(__xludf.DUMMYFUNCTION("""COMPUTED_VALUE"""),"It's good ")</f>
        <v>It's good </v>
      </c>
      <c r="C3" s="2" t="str">
        <f>IFERROR(__xludf.DUMMYFUNCTION("""COMPUTED_VALUE"""),"I suggest that if there's a lot of Student line up, add some staff for convenient and Quickly transaction.")</f>
        <v>I suggest that if there's a lot of Student line up, add some staff for convenient and Quickly transaction.</v>
      </c>
    </row>
    <row r="4">
      <c r="A4" s="1">
        <f>IFERROR(__xludf.DUMMYFUNCTION("""COMPUTED_VALUE"""),45988.35993116898)</f>
        <v>45988.35993</v>
      </c>
      <c r="B4" s="2" t="str">
        <f>IFERROR(__xludf.DUMMYFUNCTION("""COMPUTED_VALUE"""),"No comment")</f>
        <v>No comment</v>
      </c>
      <c r="C4" s="2" t="str">
        <f>IFERROR(__xludf.DUMMYFUNCTION("""COMPUTED_VALUE"""),"No comment ")</f>
        <v>No comment </v>
      </c>
    </row>
    <row r="5">
      <c r="A5" s="1">
        <f>IFERROR(__xludf.DUMMYFUNCTION("""COMPUTED_VALUE"""),45988.36105112269)</f>
        <v>45988.36105</v>
      </c>
      <c r="B5" s="2" t="str">
        <f>IFERROR(__xludf.DUMMYFUNCTION("""COMPUTED_VALUE"""),"Very nice")</f>
        <v>Very nice</v>
      </c>
      <c r="C5" s="2" t="str">
        <f>IFERROR(__xludf.DUMMYFUNCTION("""COMPUTED_VALUE"""),"More details")</f>
        <v>More details</v>
      </c>
    </row>
    <row r="6">
      <c r="A6" s="1">
        <f>IFERROR(__xludf.DUMMYFUNCTION("""COMPUTED_VALUE"""),45988.38029265046)</f>
        <v>45988.38029</v>
      </c>
      <c r="B6" s="2" t="str">
        <f>IFERROR(__xludf.DUMMYFUNCTION("""COMPUTED_VALUE"""),"Good reliable ")</f>
        <v>Good reliable </v>
      </c>
      <c r="C6" s="2"/>
    </row>
    <row r="7">
      <c r="A7" s="1">
        <f>IFERROR(__xludf.DUMMYFUNCTION("""COMPUTED_VALUE"""),45988.482801377315)</f>
        <v>45988.4828</v>
      </c>
      <c r="B7" s="2" t="str">
        <f>IFERROR(__xludf.DUMMYFUNCTION("""COMPUTED_VALUE"""),"Nothing ")</f>
        <v>Nothing </v>
      </c>
      <c r="C7" s="2" t="str">
        <f>IFERROR(__xludf.DUMMYFUNCTION("""COMPUTED_VALUE"""),"Nothing")</f>
        <v>Nothing</v>
      </c>
    </row>
    <row r="8">
      <c r="A8" s="1">
        <f>IFERROR(__xludf.DUMMYFUNCTION("""COMPUTED_VALUE"""),45988.5169275463)</f>
        <v>45988.51693</v>
      </c>
      <c r="B8" s="2" t="str">
        <f>IFERROR(__xludf.DUMMYFUNCTION("""COMPUTED_VALUE"""),"to be honest for how many years of being student athlete here sa fcu yanda lg gid ko/kami samon team naka experience sang big support, excellent and quality actions from sports office and big thanks to Sir Rojo for being a good and responsible sports coor"&amp;"dinator.")</f>
        <v>to be honest for how many years of being student athlete here sa fcu yanda lg gid ko/kami samon team naka experience sang big support, excellent and quality actions from sports office and big thanks to Sir Rojo for being a good and responsible sports coordinator.</v>
      </c>
      <c r="C8" s="2" t="str">
        <f>IFERROR(__xludf.DUMMYFUNCTION("""COMPUTED_VALUE"""),"I suggest that mas dakuon pa kag hatagan pa space ang sports office because kagamay gid sang office. mina lg. when it comes to services all goods.")</f>
        <v>I suggest that mas dakuon pa kag hatagan pa space ang sports office because kagamay gid sang office. mina lg. when it comes to services all goods.</v>
      </c>
    </row>
    <row r="9">
      <c r="A9" s="1">
        <f>IFERROR(__xludf.DUMMYFUNCTION("""COMPUTED_VALUE"""),45988.79080649305)</f>
        <v>45988.79081</v>
      </c>
      <c r="B9" s="2" t="str">
        <f>IFERROR(__xludf.DUMMYFUNCTION("""COMPUTED_VALUE"""),"Satisfied student athlete ")</f>
        <v>Satisfied student athlete </v>
      </c>
      <c r="C9" s="2"/>
    </row>
    <row r="10">
      <c r="A10" s="1">
        <f>IFERROR(__xludf.DUMMYFUNCTION("""COMPUTED_VALUE"""),45988.808704375)</f>
        <v>45988.8087</v>
      </c>
      <c r="B10" s="2" t="str">
        <f>IFERROR(__xludf.DUMMYFUNCTION("""COMPUTED_VALUE"""),"Be more gentle and professional")</f>
        <v>Be more gentle and professional</v>
      </c>
      <c r="C10" s="2" t="str">
        <f>IFERROR(__xludf.DUMMYFUNCTION("""COMPUTED_VALUE"""),"Likewise with my previous answer")</f>
        <v>Likewise with my previous answer</v>
      </c>
    </row>
    <row r="11">
      <c r="A11" s="1">
        <f>IFERROR(__xludf.DUMMYFUNCTION("""COMPUTED_VALUE"""),46076.50479479167)</f>
        <v>46076.50479</v>
      </c>
      <c r="B11" s="2" t="str">
        <f>IFERROR(__xludf.DUMMYFUNCTION("""COMPUTED_VALUE"""),"Overall, the service has been nice and perciece. Staff")</f>
        <v>Overall, the service has been nice and perciece. Staff</v>
      </c>
      <c r="C11" s="2"/>
    </row>
    <row r="12">
      <c r="A12" s="1">
        <f>IFERROR(__xludf.DUMMYFUNCTION("""COMPUTED_VALUE"""),46076.508085497684)</f>
        <v>46076.50809</v>
      </c>
      <c r="B12" s="2" t="str">
        <f>IFERROR(__xludf.DUMMYFUNCTION("""COMPUTED_VALUE"""),"Nothing")</f>
        <v>Nothing</v>
      </c>
      <c r="C12" s="2"/>
    </row>
    <row r="13">
      <c r="A13" s="1">
        <f>IFERROR(__xludf.DUMMYFUNCTION("""COMPUTED_VALUE"""),46077.4065049537)</f>
        <v>46077.4065</v>
      </c>
      <c r="B13" s="2" t="str">
        <f>IFERROR(__xludf.DUMMYFUNCTION("""COMPUTED_VALUE"""),"The sports scholarship is a big help for us athletes, especially since we pay for tuition, training, equipment, and other expenses upfront. However, the delays in releasing the scholarship make it very difficult for us financially.
When the support comes"&amp;" late, we are forced to shoulder everything first, which adds stress and pressure. The scholarship is meant to help us, but it only truly does so if it is released on time or in advance. Timely release would greatly improve the service and show real suppo"&amp;"rt for student-athletes.")</f>
        <v>The sports scholarship is a big help for us athletes, especially since we pay for tuition, training, equipment, and other expenses upfront. However, the delays in releasing the scholarship make it very difficult for us financially.
When the support comes late, we are forced to shoulder everything first, which adds stress and pressure. The scholarship is meant to help us, but it only truly does so if it is released on time or in advance. Timely release would greatly improve the service and show real support for student-athletes.</v>
      </c>
      <c r="C13" s="2" t="str">
        <f>IFERROR(__xludf.DUMMYFUNCTION("""COMPUTED_VALUE"""),"To improve customer experience, the office should release the sports scholarship in advance and on time, not very late.
Students rely on the scholarship for tuition, allowances, and other school expenses. When it is delayed, it creates financial stress a"&amp;"nd affects their academic and athletic performance. The office should set a fixed release schedule and strictly follow it. If delays are unavoidable, they should clearly inform scholars ahead of time and explain the reason.
Giving the scholarship in adva"&amp;"nce or at the start of the term shows reliability, professionalism, and genuine support for student-athletes. This will greatly improve trust and satisfaction with the office.")</f>
        <v>To improve customer experience, the office should release the sports scholarship in advance and on time, not very late.
Students rely on the scholarship for tuition, allowances, and other school expenses. When it is delayed, it creates financial stress and affects their academic and athletic performance. The office should set a fixed release schedule and strictly follow it. If delays are unavoidable, they should clearly inform scholars ahead of time and explain the reason.
Giving the scholarship in advance or at the start of the term shows reliability, professionalism, and genuine support for student-athletes. This will greatly improve trust and satisfaction with the office.</v>
      </c>
    </row>
    <row r="14">
      <c r="A14" s="1">
        <f>IFERROR(__xludf.DUMMYFUNCTION("""COMPUTED_VALUE"""),46077.408533368056)</f>
        <v>46077.40853</v>
      </c>
      <c r="B14" s="2" t="str">
        <f>IFERROR(__xludf.DUMMYFUNCTION("""COMPUTED_VALUE"""),"None")</f>
        <v>None</v>
      </c>
      <c r="C14" s="2" t="str">
        <f>IFERROR(__xludf.DUMMYFUNCTION("""COMPUTED_VALUE"""),"None")</f>
        <v>None</v>
      </c>
    </row>
    <row r="15">
      <c r="A15" s="1">
        <f>IFERROR(__xludf.DUMMYFUNCTION("""COMPUTED_VALUE"""),46077.50129017361)</f>
        <v>46077.50129</v>
      </c>
      <c r="B15" s="2" t="str">
        <f>IFERROR(__xludf.DUMMYFUNCTION("""COMPUTED_VALUE"""),"N/A")</f>
        <v>N/A</v>
      </c>
      <c r="C15" s="2" t="str">
        <f>IFERROR(__xludf.DUMMYFUNCTION("""COMPUTED_VALUE"""),"None")</f>
        <v>None</v>
      </c>
    </row>
    <row r="16">
      <c r="A16" s="1">
        <f>IFERROR(__xludf.DUMMYFUNCTION("""COMPUTED_VALUE"""),46077.53275820602)</f>
        <v>46077.53276</v>
      </c>
      <c r="B16" s="2" t="str">
        <f>IFERROR(__xludf.DUMMYFUNCTION("""COMPUTED_VALUE"""),"NONE")</f>
        <v>NONE</v>
      </c>
      <c r="C16" s="2" t="str">
        <f>IFERROR(__xludf.DUMMYFUNCTION("""COMPUTED_VALUE"""),"NONE")</f>
        <v>NONE</v>
      </c>
    </row>
    <row r="17">
      <c r="A17" s="1">
        <f>IFERROR(__xludf.DUMMYFUNCTION("""COMPUTED_VALUE"""),46079.38855106481)</f>
        <v>46079.38855</v>
      </c>
      <c r="B17" s="2" t="str">
        <f>IFERROR(__xludf.DUMMYFUNCTION("""COMPUTED_VALUE"""),"It is very good ")</f>
        <v>It is very good </v>
      </c>
      <c r="C17" s="2" t="str">
        <f>IFERROR(__xludf.DUMMYFUNCTION("""COMPUTED_VALUE"""),"None")</f>
        <v>None</v>
      </c>
    </row>
    <row r="18">
      <c r="A18" s="1">
        <f>IFERROR(__xludf.DUMMYFUNCTION("""COMPUTED_VALUE"""),46125.40548508102)</f>
        <v>46125.40549</v>
      </c>
      <c r="B18" s="2" t="str">
        <f>IFERROR(__xludf.DUMMYFUNCTION("""COMPUTED_VALUE"""),"Good")</f>
        <v>Good</v>
      </c>
      <c r="C18" s="2" t="str">
        <f>IFERROR(__xludf.DUMMYFUNCTION("""COMPUTED_VALUE"""),"N/A")</f>
        <v>N/A</v>
      </c>
    </row>
    <row r="19">
      <c r="A19" s="1">
        <f>IFERROR(__xludf.DUMMYFUNCTION("""COMPUTED_VALUE"""),46301.3844340625)</f>
        <v>46301.38443</v>
      </c>
      <c r="B19" s="2" t="str">
        <f>IFERROR(__xludf.DUMMYFUNCTION("""COMPUTED_VALUE"""),"Great👍🏻")</f>
        <v>Great👍🏻</v>
      </c>
      <c r="C19" s="2" t="str">
        <f>IFERROR(__xludf.DUMMYFUNCTION("""COMPUTED_VALUE""")," ")</f>
        <v> </v>
      </c>
    </row>
    <row r="20">
      <c r="A20" s="1">
        <f>IFERROR(__xludf.DUMMYFUNCTION("""COMPUTED_VALUE"""),46301.511184884264)</f>
        <v>46301.51118</v>
      </c>
      <c r="B20" s="2" t="str">
        <f>IFERROR(__xludf.DUMMYFUNCTION("""COMPUTED_VALUE"""),"good")</f>
        <v>good</v>
      </c>
      <c r="C20" s="2" t="str">
        <f>IFERROR(__xludf.DUMMYFUNCTION("""COMPUTED_VALUE"""),"nothing")</f>
        <v>nothing</v>
      </c>
    </row>
    <row r="21">
      <c r="A21" s="1">
        <f>IFERROR(__xludf.DUMMYFUNCTION("""COMPUTED_VALUE"""),46301.51264061342)</f>
        <v>46301.51264</v>
      </c>
      <c r="B21" s="2" t="str">
        <f>IFERROR(__xludf.DUMMYFUNCTION("""COMPUTED_VALUE"""),"good")</f>
        <v>good</v>
      </c>
      <c r="C21" s="2" t="str">
        <f>IFERROR(__xludf.DUMMYFUNCTION("""COMPUTED_VALUE"""),"nothing")</f>
        <v>nothing</v>
      </c>
    </row>
    <row r="22">
      <c r="A22" s="1">
        <f>IFERROR(__xludf.DUMMYFUNCTION("""COMPUTED_VALUE"""),46301.513285486115)</f>
        <v>46301.51329</v>
      </c>
      <c r="B22" s="2" t="str">
        <f>IFERROR(__xludf.DUMMYFUNCTION("""COMPUTED_VALUE"""),"good")</f>
        <v>good</v>
      </c>
      <c r="C22" s="2"/>
    </row>
    <row r="23">
      <c r="A23" s="1">
        <f>IFERROR(__xludf.DUMMYFUNCTION("""COMPUTED_VALUE"""),46301.513450439816)</f>
        <v>46301.51345</v>
      </c>
      <c r="B23" s="2" t="str">
        <f>IFERROR(__xludf.DUMMYFUNCTION("""COMPUTED_VALUE"""),"it's good")</f>
        <v>it's good</v>
      </c>
      <c r="C23" s="2"/>
    </row>
    <row r="24">
      <c r="A24" s="1">
        <f>IFERROR(__xludf.DUMMYFUNCTION("""COMPUTED_VALUE"""),46301.51598149305)</f>
        <v>46301.51598</v>
      </c>
      <c r="B24" s="2" t="str">
        <f>IFERROR(__xludf.DUMMYFUNCTION("""COMPUTED_VALUE"""),"N/A")</f>
        <v>N/A</v>
      </c>
      <c r="C24" s="2" t="str">
        <f>IFERROR(__xludf.DUMMYFUNCTION("""COMPUTED_VALUE"""),"N/A")</f>
        <v>N/A</v>
      </c>
    </row>
    <row r="25">
      <c r="A25" s="1">
        <f>IFERROR(__xludf.DUMMYFUNCTION("""COMPUTED_VALUE"""),46301.5242242824)</f>
        <v>46301.52422</v>
      </c>
      <c r="B25" s="2" t="str">
        <f>IFERROR(__xludf.DUMMYFUNCTION("""COMPUTED_VALUE"""),"Its good")</f>
        <v>Its good</v>
      </c>
      <c r="C25" s="2" t="str">
        <f>IFERROR(__xludf.DUMMYFUNCTION("""COMPUTED_VALUE"""),"Nothing")</f>
        <v>Nothing</v>
      </c>
    </row>
    <row r="26">
      <c r="A26" s="1">
        <f>IFERROR(__xludf.DUMMYFUNCTION("""COMPUTED_VALUE"""),46301.628657187495)</f>
        <v>46301.62866</v>
      </c>
      <c r="B26" s="2" t="str">
        <f>IFERROR(__xludf.DUMMYFUNCTION("""COMPUTED_VALUE"""),".")</f>
        <v>.</v>
      </c>
      <c r="C26" s="2" t="str">
        <f>IFERROR(__xludf.DUMMYFUNCTION("""COMPUTED_VALUE"""),".")</f>
        <v>.</v>
      </c>
    </row>
    <row r="27">
      <c r="A27" s="1">
        <f>IFERROR(__xludf.DUMMYFUNCTION("""COMPUTED_VALUE"""),46301.62998861111)</f>
        <v>46301.62999</v>
      </c>
      <c r="B27" s="2" t="str">
        <f>IFERROR(__xludf.DUMMYFUNCTION("""COMPUTED_VALUE"""),"Good")</f>
        <v>Good</v>
      </c>
      <c r="C27" s="2"/>
    </row>
    <row r="28">
      <c r="A28" s="1">
        <f>IFERROR(__xludf.DUMMYFUNCTION("""COMPUTED_VALUE"""),46301.6480378125)</f>
        <v>46301.64804</v>
      </c>
      <c r="B28" s="2" t="str">
        <f>IFERROR(__xludf.DUMMYFUNCTION("""COMPUTED_VALUE"""),"N/A")</f>
        <v>N/A</v>
      </c>
      <c r="C28" s="2" t="str">
        <f>IFERROR(__xludf.DUMMYFUNCTION("""COMPUTED_VALUE"""),"N/A")</f>
        <v>N/A</v>
      </c>
    </row>
    <row r="29">
      <c r="A29" s="1">
        <f>IFERROR(__xludf.DUMMYFUNCTION("""COMPUTED_VALUE"""),46306.33930086806)</f>
        <v>46306.3393</v>
      </c>
      <c r="B29" s="2" t="str">
        <f>IFERROR(__xludf.DUMMYFUNCTION("""COMPUTED_VALUE"""),"good")</f>
        <v>good</v>
      </c>
      <c r="C29" s="2" t="str">
        <f>IFERROR(__xludf.DUMMYFUNCTION("""COMPUTED_VALUE"""),"N/A")</f>
        <v>N/A</v>
      </c>
    </row>
  </sheetData>
  <drawing r:id="rId1"/>
</worksheet>
</file>