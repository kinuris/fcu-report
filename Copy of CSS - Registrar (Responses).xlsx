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 state="visible" name="Sheet1" sheetId="2" r:id="rId6"/>
  </sheets>
  <definedNames/>
  <calcPr/>
</workbook>
</file>

<file path=xl/sharedStrings.xml><?xml version="1.0" encoding="utf-8"?>
<sst xmlns="http://schemas.openxmlformats.org/spreadsheetml/2006/main" count="135" uniqueCount="52">
  <si>
    <t>Timestamp</t>
  </si>
  <si>
    <t xml:space="preserve">By clicking I AGREE, I am giving consent to FCU to collect and process the information I will give. I acknowledge that this information will solely be used for client satisfaction survey purposes and will not be shared to any third party organization or other affiliation. </t>
  </si>
  <si>
    <t>Date of Transaction</t>
  </si>
  <si>
    <t>Client Type</t>
  </si>
  <si>
    <t>Unit/Affiliation</t>
  </si>
  <si>
    <t>Sex</t>
  </si>
  <si>
    <t>Services Availed: Registrar</t>
  </si>
  <si>
    <r>
      <rPr>
        <rFont val="Arial"/>
        <b/>
        <i/>
        <color theme="1"/>
      </rPr>
      <t>RESPONSIVENESS</t>
    </r>
    <r>
      <rPr>
        <rFont val="Arial"/>
        <color theme="1"/>
      </rPr>
      <t xml:space="preserve">
I spent a reasonable amount of time completing my transaction.</t>
    </r>
  </si>
  <si>
    <r>
      <rPr>
        <rFont val="Arial"/>
        <b/>
        <color theme="1"/>
      </rPr>
      <t>RELIABILITY</t>
    </r>
    <r>
      <rPr>
        <rFont val="Arial"/>
        <color theme="1"/>
      </rPr>
      <t xml:space="preserve">
My transaction with the office is consistent with the specified requirements and steps.</t>
    </r>
  </si>
  <si>
    <r>
      <rPr>
        <rFont val="Arial"/>
        <b/>
        <color theme="1"/>
      </rPr>
      <t>ACCESS AND FACILITIES</t>
    </r>
    <r>
      <rPr>
        <rFont val="Arial"/>
        <color theme="1"/>
      </rPr>
      <t xml:space="preserve">
My transaction, including steps and payments was simple and convenient. The service was provided in a conducive environment.</t>
    </r>
  </si>
  <si>
    <r>
      <rPr>
        <rFont val="Arial"/>
        <b/>
        <color theme="1"/>
      </rPr>
      <t>COMMUNICATION</t>
    </r>
    <r>
      <rPr>
        <rFont val="Arial"/>
        <color theme="1"/>
      </rPr>
      <t xml:space="preserve">
The office promptly and clearly communicated the details of my request.</t>
    </r>
  </si>
  <si>
    <r>
      <rPr>
        <rFont val="Arial"/>
        <b/>
        <color theme="1"/>
      </rPr>
      <t>COSTS</t>
    </r>
    <r>
      <rPr>
        <rFont val="Arial"/>
        <color theme="1"/>
      </rPr>
      <t xml:space="preserve">
The fees I paid for my transaction were fair and reasonable.</t>
    </r>
  </si>
  <si>
    <r>
      <rPr>
        <rFont val="Arial"/>
        <b/>
        <color theme="1"/>
      </rPr>
      <t>INTEGRITY</t>
    </r>
    <r>
      <rPr>
        <rFont val="Arial"/>
        <color theme="1"/>
      </rPr>
      <t xml:space="preserve">
The office treated me fairly and honestly during my transaction.</t>
    </r>
  </si>
  <si>
    <r>
      <rPr>
        <rFont val="Arial"/>
        <b/>
        <color theme="1"/>
      </rPr>
      <t>ASSURANCE</t>
    </r>
    <r>
      <rPr>
        <rFont val="Arial"/>
        <color theme="1"/>
      </rPr>
      <t xml:space="preserve">
I was treated professionally by a knowledgeable and polite staff.</t>
    </r>
  </si>
  <si>
    <r>
      <rPr>
        <rFont val="Arial"/>
        <b/>
        <color theme="1"/>
      </rPr>
      <t>OUTCOME</t>
    </r>
    <r>
      <rPr>
        <rFont val="Arial"/>
        <color theme="1"/>
      </rPr>
      <t xml:space="preserve">
I’m satisfied with my overall transaction with the office.</t>
    </r>
  </si>
  <si>
    <t xml:space="preserve">How likely are you to recommend our services to others? </t>
  </si>
  <si>
    <t xml:space="preserve">What can you comment about the the services provided by the office? </t>
  </si>
  <si>
    <t xml:space="preserve">What are your suggestions to improve customer experience with this office? </t>
  </si>
  <si>
    <t>I AGREE</t>
  </si>
  <si>
    <t>Student</t>
  </si>
  <si>
    <t>CCJE DEPARTMENT</t>
  </si>
  <si>
    <t>Male</t>
  </si>
  <si>
    <t>Processing of form137 for players</t>
  </si>
  <si>
    <t>Its good</t>
  </si>
  <si>
    <t>Alumni</t>
  </si>
  <si>
    <t>CCS</t>
  </si>
  <si>
    <t>Request for TOR/Diploma</t>
  </si>
  <si>
    <t>Female</t>
  </si>
  <si>
    <t>Certification</t>
  </si>
  <si>
    <t>Request for Form 137/SF10</t>
  </si>
  <si>
    <t xml:space="preserve">none, if its not broke don't fix it. </t>
  </si>
  <si>
    <t>Verygood</t>
  </si>
  <si>
    <t>Berygood</t>
  </si>
  <si>
    <t>DepEd</t>
  </si>
  <si>
    <t>GRADUATE SCHOOL</t>
  </si>
  <si>
    <t>Officials have no sense of urgency</t>
  </si>
  <si>
    <t>Registrar</t>
  </si>
  <si>
    <t>Appraisal</t>
  </si>
  <si>
    <t xml:space="preserve">Graduate School </t>
  </si>
  <si>
    <t>Enrollment</t>
  </si>
  <si>
    <t>Prefer not to say</t>
  </si>
  <si>
    <t>Gawing one way lang, hindi pabalik-balik!!!!</t>
  </si>
  <si>
    <t xml:space="preserve">Make the instruction clear. </t>
  </si>
  <si>
    <t xml:space="preserve">Grad school </t>
  </si>
  <si>
    <t xml:space="preserve">Staff wasn't accommodating me. </t>
  </si>
  <si>
    <t>BSSW</t>
  </si>
  <si>
    <t>Scholarship and Discounts</t>
  </si>
  <si>
    <t xml:space="preserve">the staff must be professional during transactions and have some sense of urgency because we spend time to process our time and to be wasted by them by saying na “busy pa ko gha, pwede balikan mo lang karon” but when you look at them they were not doing their job probably, THEY WERE USING GADGETS AND SCROLLING THROUGH SOCIAL MEDIA. </t>
  </si>
  <si>
    <t xml:space="preserve">the staff must be professional during transactions and have some sense of urgency because we spend time to process our time and to be wasted by them by saying na “busy pa ko gha, pwede balikan mo lang karon?” but when you look at them they were not doing their job probably, THEY WERE USING GADGETS AND SCROLLING THROUGH SOCIAL MEDIA. </t>
  </si>
  <si>
    <t>Guest</t>
  </si>
  <si>
    <t>N/A</t>
  </si>
  <si>
    <t>MAS DAMO PA ANG TSISMIS SA GUWA SANG OPISINA SANG SA ILA UBRA. WALA GID GAYUHOM KAY MGA SUPLADA. GAPANGAKIG KUNG PAMANGKUTON. NOT APPROPRIATE.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</si>
</sst>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0" fontId="1" numFmtId="164" xfId="0" applyFont="1" applyNumberFormat="1"/>
    <xf borderId="0" fillId="0" fontId="1" numFmtId="0" xfId="0" applyFont="1"/>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14" xfId="0" applyAlignment="1" applyFont="1" applyNumberFormat="1">
      <alignment readingOrder="0" shrinkToFit="0" vertical="center" wrapText="0"/>
    </xf>
    <xf borderId="0" fillId="0" fontId="1" numFmtId="0" xfId="0" applyAlignment="1" applyFont="1">
      <alignment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14" xfId="0" applyAlignment="1" applyFont="1" applyNumberForma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R25" displayName="Form_Responses" name="Form_Responses" id="1">
  <tableColumns count="18">
    <tableColumn name="Timestamp" id="1"/>
    <tableColumn name="By clicking I AGREE, I am giving consent to FCU to collect and process the information I will give. I acknowledge that this information will solely be used for client satisfaction survey purposes and will not be shared to any third party organization or other affiliation. " id="2"/>
    <tableColumn name="Date of Transaction" id="3"/>
    <tableColumn name="Client Type" id="4"/>
    <tableColumn name="Unit/Affiliation" id="5"/>
    <tableColumn name="Sex" id="6"/>
    <tableColumn name="Services Availed: Registrar" id="7"/>
    <tableColumn name="RESPONSIVENESS_x000a_I spent a reasonable amount of time completing my transaction." id="8"/>
    <tableColumn name="RELIABILITY_x000a_My transaction with the office is consistent with the specified requirements and steps." id="9"/>
    <tableColumn name="ACCESS AND FACILITIES_x000a_My transaction, including steps and payments was simple and convenient. The service was provided in a conducive environment." id="10"/>
    <tableColumn name="COMMUNICATION_x000a_The office promptly and clearly communicated the details of my request." id="11"/>
    <tableColumn name="COSTS_x000a_The fees I paid for my transaction were fair and reasonable." id="12"/>
    <tableColumn name="INTEGRITY_x000a_The office treated me fairly and honestly during my transaction." id="13"/>
    <tableColumn name="ASSURANCE_x000a_I was treated professionally by a knowledgeable and polite staff." id="14"/>
    <tableColumn name="OUTCOME_x000a_I’m satisfied with my overall transaction with the office." id="15"/>
    <tableColumn name="How likely are you to recommend our services to others? " id="16"/>
    <tableColumn name="What can you comment about the the services provided by the office? " id="17"/>
    <tableColumn name="What are your suggestions to improve customer experience with this office? " id="18"/>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37.63"/>
    <col customWidth="1" min="3" max="3" width="19.63"/>
    <col customWidth="1" min="4" max="6" width="18.88"/>
    <col customWidth="1" min="7" max="7" width="24.5"/>
    <col customWidth="1" min="8" max="18" width="37.63"/>
    <col customWidth="1" min="19" max="24" width="18.88"/>
  </cols>
  <sheetData>
    <row r="1" ht="22.5" customHeight="1">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row>
    <row r="2" ht="22.5" customHeight="1">
      <c r="A2" s="4">
        <v>45973.65823252314</v>
      </c>
      <c r="B2" s="5" t="s">
        <v>18</v>
      </c>
      <c r="C2" s="6">
        <v>45973.0</v>
      </c>
      <c r="D2" s="5" t="s">
        <v>19</v>
      </c>
      <c r="E2" s="5" t="s">
        <v>20</v>
      </c>
      <c r="F2" s="5" t="s">
        <v>21</v>
      </c>
      <c r="G2" s="5" t="s">
        <v>22</v>
      </c>
      <c r="H2" s="5">
        <v>4.0</v>
      </c>
      <c r="I2" s="5">
        <v>4.0</v>
      </c>
      <c r="J2" s="5">
        <v>4.0</v>
      </c>
      <c r="K2" s="5">
        <v>4.0</v>
      </c>
      <c r="L2" s="5">
        <v>5.0</v>
      </c>
      <c r="M2" s="5">
        <v>5.0</v>
      </c>
      <c r="N2" s="5">
        <v>5.0</v>
      </c>
      <c r="O2" s="5">
        <v>5.0</v>
      </c>
      <c r="P2" s="5">
        <v>10.0</v>
      </c>
      <c r="Q2" s="5" t="s">
        <v>23</v>
      </c>
      <c r="R2" s="7"/>
    </row>
    <row r="3" ht="22.5" customHeight="1">
      <c r="A3" s="4">
        <v>45974.6089044213</v>
      </c>
      <c r="B3" s="5" t="s">
        <v>18</v>
      </c>
      <c r="C3" s="6">
        <v>45974.0</v>
      </c>
      <c r="D3" s="5" t="s">
        <v>24</v>
      </c>
      <c r="E3" s="5" t="s">
        <v>25</v>
      </c>
      <c r="F3" s="5" t="s">
        <v>21</v>
      </c>
      <c r="G3" s="5" t="s">
        <v>26</v>
      </c>
      <c r="H3" s="5">
        <v>5.0</v>
      </c>
      <c r="I3" s="5">
        <v>5.0</v>
      </c>
      <c r="J3" s="5">
        <v>5.0</v>
      </c>
      <c r="K3" s="5">
        <v>5.0</v>
      </c>
      <c r="L3" s="5">
        <v>5.0</v>
      </c>
      <c r="M3" s="5">
        <v>5.0</v>
      </c>
      <c r="N3" s="5">
        <v>5.0</v>
      </c>
      <c r="O3" s="5">
        <v>5.0</v>
      </c>
      <c r="P3" s="5">
        <v>10.0</v>
      </c>
      <c r="Q3" s="7"/>
      <c r="R3" s="7"/>
    </row>
    <row r="4" ht="22.5" customHeight="1">
      <c r="A4" s="4">
        <v>45975.38465356482</v>
      </c>
      <c r="B4" s="5" t="s">
        <v>18</v>
      </c>
      <c r="C4" s="6">
        <v>45968.0</v>
      </c>
      <c r="D4" s="5" t="s">
        <v>19</v>
      </c>
      <c r="E4" s="7"/>
      <c r="F4" s="5" t="s">
        <v>27</v>
      </c>
      <c r="G4" s="5" t="s">
        <v>28</v>
      </c>
      <c r="H4" s="5">
        <v>5.0</v>
      </c>
      <c r="I4" s="5">
        <v>5.0</v>
      </c>
      <c r="J4" s="5">
        <v>5.0</v>
      </c>
      <c r="K4" s="5">
        <v>5.0</v>
      </c>
      <c r="L4" s="5">
        <v>5.0</v>
      </c>
      <c r="M4" s="5">
        <v>5.0</v>
      </c>
      <c r="N4" s="5">
        <v>5.0</v>
      </c>
      <c r="O4" s="5">
        <v>5.0</v>
      </c>
      <c r="P4" s="5">
        <v>10.0</v>
      </c>
      <c r="Q4" s="7"/>
      <c r="R4" s="7"/>
    </row>
    <row r="5" ht="22.5" customHeight="1">
      <c r="A5" s="4">
        <v>45975.386142372685</v>
      </c>
      <c r="B5" s="5" t="s">
        <v>18</v>
      </c>
      <c r="C5" s="6">
        <v>45973.0</v>
      </c>
      <c r="D5" s="5" t="s">
        <v>24</v>
      </c>
      <c r="E5" s="7"/>
      <c r="F5" s="5" t="s">
        <v>21</v>
      </c>
      <c r="G5" s="5" t="s">
        <v>29</v>
      </c>
      <c r="H5" s="5">
        <v>5.0</v>
      </c>
      <c r="I5" s="5">
        <v>5.0</v>
      </c>
      <c r="J5" s="5">
        <v>5.0</v>
      </c>
      <c r="K5" s="5">
        <v>5.0</v>
      </c>
      <c r="L5" s="5">
        <v>5.0</v>
      </c>
      <c r="M5" s="5">
        <v>5.0</v>
      </c>
      <c r="N5" s="5">
        <v>5.0</v>
      </c>
      <c r="O5" s="5">
        <v>5.0</v>
      </c>
      <c r="P5" s="5">
        <v>10.0</v>
      </c>
      <c r="Q5" s="7"/>
      <c r="R5" s="5" t="s">
        <v>30</v>
      </c>
    </row>
    <row r="6" ht="22.5" customHeight="1">
      <c r="A6" s="4">
        <v>45975.659892118056</v>
      </c>
      <c r="B6" s="5" t="s">
        <v>18</v>
      </c>
      <c r="C6" s="6">
        <v>45975.0</v>
      </c>
      <c r="D6" s="5" t="s">
        <v>24</v>
      </c>
      <c r="E6" s="7"/>
      <c r="F6" s="5" t="s">
        <v>21</v>
      </c>
      <c r="G6" s="5" t="s">
        <v>26</v>
      </c>
      <c r="H6" s="5">
        <v>5.0</v>
      </c>
      <c r="I6" s="5">
        <v>5.0</v>
      </c>
      <c r="J6" s="5">
        <v>5.0</v>
      </c>
      <c r="K6" s="5">
        <v>5.0</v>
      </c>
      <c r="L6" s="5">
        <v>5.0</v>
      </c>
      <c r="M6" s="5">
        <v>5.0</v>
      </c>
      <c r="N6" s="5">
        <v>5.0</v>
      </c>
      <c r="O6" s="5">
        <v>5.0</v>
      </c>
      <c r="P6" s="5">
        <v>10.0</v>
      </c>
      <c r="Q6" s="5" t="s">
        <v>31</v>
      </c>
      <c r="R6" s="5" t="s">
        <v>32</v>
      </c>
    </row>
    <row r="7" ht="22.5" customHeight="1">
      <c r="A7" s="4">
        <v>45978.66909131945</v>
      </c>
      <c r="B7" s="5" t="s">
        <v>18</v>
      </c>
      <c r="C7" s="6">
        <v>45978.0</v>
      </c>
      <c r="D7" s="5" t="s">
        <v>19</v>
      </c>
      <c r="E7" s="7"/>
      <c r="F7" s="5" t="s">
        <v>27</v>
      </c>
      <c r="G7" s="5" t="s">
        <v>26</v>
      </c>
      <c r="H7" s="5">
        <v>5.0</v>
      </c>
      <c r="I7" s="5">
        <v>5.0</v>
      </c>
      <c r="J7" s="5">
        <v>5.0</v>
      </c>
      <c r="K7" s="5">
        <v>5.0</v>
      </c>
      <c r="L7" s="5">
        <v>5.0</v>
      </c>
      <c r="M7" s="5">
        <v>5.0</v>
      </c>
      <c r="N7" s="5">
        <v>5.0</v>
      </c>
      <c r="O7" s="5">
        <v>5.0</v>
      </c>
      <c r="P7" s="5">
        <v>9.0</v>
      </c>
      <c r="Q7" s="7"/>
      <c r="R7" s="7"/>
    </row>
    <row r="8" ht="22.5" customHeight="1">
      <c r="A8" s="4">
        <v>45978.87839699074</v>
      </c>
      <c r="B8" s="5" t="s">
        <v>18</v>
      </c>
      <c r="C8" s="6">
        <v>45978.0</v>
      </c>
      <c r="D8" s="5" t="s">
        <v>19</v>
      </c>
      <c r="E8" s="5" t="s">
        <v>33</v>
      </c>
      <c r="F8" s="5" t="s">
        <v>27</v>
      </c>
      <c r="G8" s="5" t="s">
        <v>26</v>
      </c>
      <c r="H8" s="5">
        <v>5.0</v>
      </c>
      <c r="I8" s="5">
        <v>5.0</v>
      </c>
      <c r="J8" s="5">
        <v>5.0</v>
      </c>
      <c r="K8" s="5">
        <v>5.0</v>
      </c>
      <c r="L8" s="5">
        <v>5.0</v>
      </c>
      <c r="M8" s="5">
        <v>5.0</v>
      </c>
      <c r="N8" s="5">
        <v>5.0</v>
      </c>
      <c r="O8" s="5">
        <v>5.0</v>
      </c>
      <c r="P8" s="5">
        <v>10.0</v>
      </c>
      <c r="Q8" s="7"/>
      <c r="R8" s="7"/>
    </row>
    <row r="9" ht="22.5" customHeight="1">
      <c r="A9" s="4">
        <v>45981.60294982639</v>
      </c>
      <c r="B9" s="5" t="s">
        <v>18</v>
      </c>
      <c r="C9" s="6">
        <v>45981.0</v>
      </c>
      <c r="D9" s="5" t="s">
        <v>24</v>
      </c>
      <c r="E9" s="7"/>
      <c r="F9" s="5" t="s">
        <v>21</v>
      </c>
      <c r="G9" s="5" t="s">
        <v>26</v>
      </c>
      <c r="H9" s="5">
        <v>5.0</v>
      </c>
      <c r="I9" s="5">
        <v>5.0</v>
      </c>
      <c r="J9" s="5">
        <v>5.0</v>
      </c>
      <c r="K9" s="5">
        <v>5.0</v>
      </c>
      <c r="L9" s="5">
        <v>5.0</v>
      </c>
      <c r="M9" s="5">
        <v>5.0</v>
      </c>
      <c r="N9" s="5">
        <v>5.0</v>
      </c>
      <c r="O9" s="5">
        <v>5.0</v>
      </c>
      <c r="P9" s="5">
        <v>10.0</v>
      </c>
      <c r="Q9" s="7"/>
      <c r="R9" s="7"/>
    </row>
    <row r="10" ht="22.5" customHeight="1">
      <c r="A10" s="4">
        <v>45981.62046399305</v>
      </c>
      <c r="B10" s="5" t="s">
        <v>18</v>
      </c>
      <c r="C10" s="6">
        <v>45981.0</v>
      </c>
      <c r="D10" s="5" t="s">
        <v>24</v>
      </c>
      <c r="E10" s="7"/>
      <c r="F10" s="5" t="s">
        <v>27</v>
      </c>
      <c r="G10" s="5" t="s">
        <v>26</v>
      </c>
      <c r="H10" s="5">
        <v>5.0</v>
      </c>
      <c r="I10" s="5">
        <v>5.0</v>
      </c>
      <c r="J10" s="5">
        <v>3.0</v>
      </c>
      <c r="K10" s="5">
        <v>4.0</v>
      </c>
      <c r="L10" s="5">
        <v>4.0</v>
      </c>
      <c r="M10" s="5">
        <v>5.0</v>
      </c>
      <c r="N10" s="5">
        <v>5.0</v>
      </c>
      <c r="O10" s="5">
        <v>5.0</v>
      </c>
      <c r="P10" s="5">
        <v>10.0</v>
      </c>
      <c r="Q10" s="7"/>
      <c r="R10" s="7"/>
    </row>
    <row r="11" ht="22.5" customHeight="1">
      <c r="A11" s="8">
        <v>46003.566782650465</v>
      </c>
      <c r="B11" s="9" t="s">
        <v>18</v>
      </c>
      <c r="C11" s="10">
        <v>46003.0</v>
      </c>
      <c r="D11" s="9" t="s">
        <v>19</v>
      </c>
      <c r="E11" s="9" t="s">
        <v>34</v>
      </c>
      <c r="F11" s="9" t="s">
        <v>21</v>
      </c>
      <c r="G11" s="9" t="s">
        <v>26</v>
      </c>
      <c r="H11" s="9">
        <v>3.0</v>
      </c>
      <c r="I11" s="9">
        <v>2.0</v>
      </c>
      <c r="J11" s="9">
        <v>3.0</v>
      </c>
      <c r="K11" s="9">
        <v>3.0</v>
      </c>
      <c r="L11" s="9">
        <v>3.0</v>
      </c>
      <c r="M11" s="9">
        <v>3.0</v>
      </c>
      <c r="N11" s="9">
        <v>3.0</v>
      </c>
      <c r="O11" s="9">
        <v>3.0</v>
      </c>
      <c r="P11" s="9">
        <v>4.0</v>
      </c>
      <c r="Q11" s="9" t="s">
        <v>35</v>
      </c>
    </row>
    <row r="12" ht="22.5" customHeight="1">
      <c r="A12" s="8">
        <v>46034.66194751157</v>
      </c>
      <c r="B12" s="9" t="s">
        <v>18</v>
      </c>
      <c r="C12" s="10">
        <v>46034.0</v>
      </c>
      <c r="D12" s="9" t="s">
        <v>24</v>
      </c>
      <c r="F12" s="9" t="s">
        <v>27</v>
      </c>
      <c r="G12" s="9" t="s">
        <v>26</v>
      </c>
      <c r="H12" s="9">
        <v>5.0</v>
      </c>
      <c r="I12" s="9">
        <v>5.0</v>
      </c>
      <c r="J12" s="9">
        <v>5.0</v>
      </c>
      <c r="K12" s="9">
        <v>5.0</v>
      </c>
      <c r="L12" s="9">
        <v>5.0</v>
      </c>
      <c r="M12" s="9">
        <v>5.0</v>
      </c>
      <c r="N12" s="9">
        <v>5.0</v>
      </c>
      <c r="O12" s="9">
        <v>5.0</v>
      </c>
      <c r="P12" s="9">
        <v>10.0</v>
      </c>
    </row>
    <row r="13" ht="22.5" customHeight="1">
      <c r="A13" s="8">
        <v>46042.380986793985</v>
      </c>
      <c r="B13" s="9" t="s">
        <v>18</v>
      </c>
      <c r="C13" s="10">
        <v>46042.0</v>
      </c>
      <c r="D13" s="9" t="s">
        <v>19</v>
      </c>
      <c r="E13" s="9" t="s">
        <v>36</v>
      </c>
      <c r="F13" s="9" t="s">
        <v>27</v>
      </c>
      <c r="G13" s="9" t="s">
        <v>37</v>
      </c>
      <c r="H13" s="9">
        <v>5.0</v>
      </c>
      <c r="I13" s="9">
        <v>5.0</v>
      </c>
      <c r="J13" s="9">
        <v>5.0</v>
      </c>
      <c r="K13" s="9">
        <v>5.0</v>
      </c>
      <c r="L13" s="9">
        <v>5.0</v>
      </c>
      <c r="M13" s="9">
        <v>5.0</v>
      </c>
      <c r="N13" s="9">
        <v>5.0</v>
      </c>
      <c r="O13" s="9">
        <v>5.0</v>
      </c>
      <c r="P13" s="9">
        <v>10.0</v>
      </c>
    </row>
    <row r="14" ht="22.5" customHeight="1">
      <c r="A14" s="8">
        <v>46044.591106875</v>
      </c>
      <c r="B14" s="9" t="s">
        <v>18</v>
      </c>
      <c r="C14" s="10">
        <v>46032.0</v>
      </c>
      <c r="D14" s="9" t="s">
        <v>24</v>
      </c>
      <c r="F14" s="9" t="s">
        <v>27</v>
      </c>
      <c r="G14" s="9" t="s">
        <v>26</v>
      </c>
      <c r="H14" s="9">
        <v>3.0</v>
      </c>
      <c r="I14" s="9">
        <v>3.0</v>
      </c>
      <c r="J14" s="9">
        <v>3.0</v>
      </c>
      <c r="K14" s="9">
        <v>3.0</v>
      </c>
      <c r="L14" s="9">
        <v>3.0</v>
      </c>
      <c r="M14" s="9">
        <v>3.0</v>
      </c>
      <c r="N14" s="9">
        <v>3.0</v>
      </c>
      <c r="O14" s="9">
        <v>3.0</v>
      </c>
      <c r="P14" s="9">
        <v>8.0</v>
      </c>
    </row>
    <row r="15" ht="22.5" customHeight="1">
      <c r="A15" s="8">
        <v>46051.43974851852</v>
      </c>
      <c r="B15" s="9" t="s">
        <v>18</v>
      </c>
      <c r="C15" s="10">
        <v>46051.0</v>
      </c>
      <c r="D15" s="9" t="s">
        <v>19</v>
      </c>
      <c r="E15" s="9" t="s">
        <v>38</v>
      </c>
      <c r="F15" s="9" t="s">
        <v>27</v>
      </c>
      <c r="G15" s="9" t="s">
        <v>37</v>
      </c>
      <c r="H15" s="9">
        <v>5.0</v>
      </c>
      <c r="I15" s="9">
        <v>5.0</v>
      </c>
      <c r="J15" s="9">
        <v>5.0</v>
      </c>
      <c r="K15" s="9">
        <v>5.0</v>
      </c>
      <c r="L15" s="9">
        <v>5.0</v>
      </c>
      <c r="M15" s="9">
        <v>5.0</v>
      </c>
      <c r="N15" s="9">
        <v>5.0</v>
      </c>
      <c r="O15" s="9">
        <v>5.0</v>
      </c>
      <c r="P15" s="9">
        <v>10.0</v>
      </c>
    </row>
    <row r="16" ht="22.5" customHeight="1">
      <c r="A16" s="8">
        <v>46055.435274421296</v>
      </c>
      <c r="B16" s="9" t="s">
        <v>18</v>
      </c>
      <c r="C16" s="10">
        <v>46055.0</v>
      </c>
      <c r="D16" s="9" t="s">
        <v>19</v>
      </c>
      <c r="F16" s="9" t="s">
        <v>21</v>
      </c>
      <c r="G16" s="9" t="s">
        <v>39</v>
      </c>
      <c r="H16" s="9">
        <v>5.0</v>
      </c>
      <c r="I16" s="9">
        <v>5.0</v>
      </c>
      <c r="J16" s="9">
        <v>5.0</v>
      </c>
      <c r="K16" s="9">
        <v>5.0</v>
      </c>
      <c r="L16" s="9">
        <v>5.0</v>
      </c>
      <c r="M16" s="9">
        <v>5.0</v>
      </c>
      <c r="N16" s="9">
        <v>5.0</v>
      </c>
      <c r="O16" s="9">
        <v>5.0</v>
      </c>
      <c r="P16" s="9">
        <v>10.0</v>
      </c>
    </row>
    <row r="17" ht="22.5" customHeight="1">
      <c r="A17" s="8">
        <v>46056.56700912037</v>
      </c>
      <c r="B17" s="9" t="s">
        <v>18</v>
      </c>
      <c r="C17" s="10">
        <v>46056.0</v>
      </c>
      <c r="D17" s="9" t="s">
        <v>19</v>
      </c>
      <c r="F17" s="9" t="s">
        <v>27</v>
      </c>
      <c r="G17" s="9" t="s">
        <v>26</v>
      </c>
      <c r="H17" s="9">
        <v>3.0</v>
      </c>
      <c r="I17" s="9">
        <v>3.0</v>
      </c>
      <c r="J17" s="9">
        <v>3.0</v>
      </c>
      <c r="K17" s="9">
        <v>3.0</v>
      </c>
      <c r="L17" s="9">
        <v>3.0</v>
      </c>
      <c r="M17" s="9">
        <v>3.0</v>
      </c>
      <c r="N17" s="9">
        <v>2.0</v>
      </c>
      <c r="O17" s="9">
        <v>3.0</v>
      </c>
      <c r="P17" s="9">
        <v>2.0</v>
      </c>
    </row>
    <row r="18" ht="22.5" customHeight="1">
      <c r="A18" s="8">
        <v>46184.54412042824</v>
      </c>
      <c r="B18" s="9" t="s">
        <v>18</v>
      </c>
      <c r="C18" s="10">
        <v>46183.0</v>
      </c>
      <c r="D18" s="9" t="s">
        <v>19</v>
      </c>
      <c r="F18" s="9" t="s">
        <v>27</v>
      </c>
      <c r="G18" s="9" t="s">
        <v>39</v>
      </c>
      <c r="H18" s="9">
        <v>4.0</v>
      </c>
      <c r="I18" s="9">
        <v>5.0</v>
      </c>
      <c r="J18" s="9">
        <v>4.0</v>
      </c>
      <c r="K18" s="9">
        <v>4.0</v>
      </c>
      <c r="L18" s="9">
        <v>5.0</v>
      </c>
      <c r="M18" s="9">
        <v>5.0</v>
      </c>
      <c r="N18" s="9">
        <v>5.0</v>
      </c>
      <c r="O18" s="9">
        <v>5.0</v>
      </c>
      <c r="P18" s="9">
        <v>8.0</v>
      </c>
    </row>
    <row r="19" ht="22.5" customHeight="1">
      <c r="A19" s="8">
        <v>46228.58243776621</v>
      </c>
      <c r="B19" s="9" t="s">
        <v>18</v>
      </c>
      <c r="C19" s="10">
        <v>46228.0</v>
      </c>
      <c r="D19" s="9" t="s">
        <v>19</v>
      </c>
      <c r="F19" s="9" t="s">
        <v>40</v>
      </c>
      <c r="G19" s="9" t="s">
        <v>39</v>
      </c>
      <c r="H19" s="9">
        <v>1.0</v>
      </c>
      <c r="I19" s="9">
        <v>1.0</v>
      </c>
      <c r="J19" s="9">
        <v>1.0</v>
      </c>
      <c r="K19" s="9">
        <v>1.0</v>
      </c>
      <c r="L19" s="9">
        <v>3.0</v>
      </c>
      <c r="M19" s="9">
        <v>2.0</v>
      </c>
      <c r="N19" s="9">
        <v>2.0</v>
      </c>
      <c r="O19" s="9">
        <v>1.0</v>
      </c>
      <c r="P19" s="9">
        <v>2.0</v>
      </c>
      <c r="Q19" s="9" t="s">
        <v>41</v>
      </c>
      <c r="R19" s="9" t="s">
        <v>42</v>
      </c>
    </row>
    <row r="20" ht="22.5" customHeight="1">
      <c r="A20" s="8">
        <v>46230.402172546295</v>
      </c>
      <c r="B20" s="9" t="s">
        <v>18</v>
      </c>
      <c r="C20" s="10">
        <v>46230.0</v>
      </c>
      <c r="D20" s="9" t="s">
        <v>19</v>
      </c>
      <c r="E20" s="9" t="s">
        <v>43</v>
      </c>
      <c r="F20" s="9" t="s">
        <v>40</v>
      </c>
      <c r="G20" s="9" t="s">
        <v>39</v>
      </c>
      <c r="H20" s="9">
        <v>1.0</v>
      </c>
      <c r="I20" s="9">
        <v>1.0</v>
      </c>
      <c r="J20" s="9">
        <v>1.0</v>
      </c>
      <c r="K20" s="9">
        <v>1.0</v>
      </c>
      <c r="L20" s="9">
        <v>4.0</v>
      </c>
      <c r="M20" s="9">
        <v>1.0</v>
      </c>
      <c r="N20" s="9">
        <v>1.0</v>
      </c>
      <c r="O20" s="9">
        <v>1.0</v>
      </c>
      <c r="P20" s="9">
        <v>1.0</v>
      </c>
      <c r="Q20" s="9" t="s">
        <v>44</v>
      </c>
    </row>
    <row r="21" ht="22.5" customHeight="1">
      <c r="A21" s="8">
        <v>46231.36485493055</v>
      </c>
      <c r="B21" s="9" t="s">
        <v>18</v>
      </c>
      <c r="C21" s="10">
        <v>46231.0</v>
      </c>
      <c r="D21" s="9" t="s">
        <v>24</v>
      </c>
      <c r="F21" s="9" t="s">
        <v>27</v>
      </c>
      <c r="G21" s="9" t="s">
        <v>26</v>
      </c>
      <c r="H21" s="9">
        <v>5.0</v>
      </c>
      <c r="I21" s="9">
        <v>5.0</v>
      </c>
      <c r="J21" s="9">
        <v>5.0</v>
      </c>
      <c r="K21" s="9">
        <v>5.0</v>
      </c>
      <c r="L21" s="9">
        <v>5.0</v>
      </c>
      <c r="M21" s="9">
        <v>5.0</v>
      </c>
      <c r="N21" s="9">
        <v>5.0</v>
      </c>
      <c r="O21" s="9">
        <v>5.0</v>
      </c>
      <c r="P21" s="9">
        <v>8.0</v>
      </c>
    </row>
    <row r="22" ht="22.5" customHeight="1">
      <c r="A22" s="8">
        <v>46231.648784282406</v>
      </c>
      <c r="B22" s="9" t="s">
        <v>18</v>
      </c>
      <c r="C22" s="10">
        <v>46230.0</v>
      </c>
      <c r="D22" s="9" t="s">
        <v>19</v>
      </c>
      <c r="E22" s="9" t="s">
        <v>45</v>
      </c>
      <c r="F22" s="9" t="s">
        <v>21</v>
      </c>
      <c r="G22" s="9" t="s">
        <v>39</v>
      </c>
      <c r="H22" s="9">
        <v>5.0</v>
      </c>
      <c r="I22" s="9">
        <v>5.0</v>
      </c>
      <c r="J22" s="9">
        <v>5.0</v>
      </c>
      <c r="K22" s="9">
        <v>5.0</v>
      </c>
      <c r="L22" s="9">
        <v>5.0</v>
      </c>
      <c r="M22" s="9">
        <v>5.0</v>
      </c>
      <c r="N22" s="9">
        <v>5.0</v>
      </c>
      <c r="O22" s="9">
        <v>5.0</v>
      </c>
      <c r="P22" s="9">
        <v>10.0</v>
      </c>
    </row>
    <row r="23" ht="22.5" customHeight="1">
      <c r="A23" s="8">
        <v>46239.38185821759</v>
      </c>
      <c r="B23" s="9" t="s">
        <v>18</v>
      </c>
      <c r="C23" s="10">
        <v>46238.0</v>
      </c>
      <c r="D23" s="9" t="s">
        <v>19</v>
      </c>
      <c r="F23" s="9" t="s">
        <v>40</v>
      </c>
      <c r="G23" s="9" t="s">
        <v>46</v>
      </c>
      <c r="H23" s="9">
        <v>1.0</v>
      </c>
      <c r="I23" s="9">
        <v>1.0</v>
      </c>
      <c r="J23" s="9">
        <v>1.0</v>
      </c>
      <c r="K23" s="9">
        <v>1.0</v>
      </c>
      <c r="L23" s="9">
        <v>1.0</v>
      </c>
      <c r="M23" s="9">
        <v>1.0</v>
      </c>
      <c r="N23" s="9">
        <v>1.0</v>
      </c>
      <c r="O23" s="9">
        <v>1.0</v>
      </c>
      <c r="P23" s="9">
        <v>1.0</v>
      </c>
      <c r="Q23" s="9" t="s">
        <v>47</v>
      </c>
      <c r="R23" s="9" t="s">
        <v>47</v>
      </c>
    </row>
    <row r="24" ht="22.5" customHeight="1">
      <c r="A24" s="8">
        <v>46239.38296379629</v>
      </c>
      <c r="B24" s="9" t="s">
        <v>18</v>
      </c>
      <c r="C24" s="10">
        <v>46239.0</v>
      </c>
      <c r="D24" s="9" t="s">
        <v>19</v>
      </c>
      <c r="F24" s="9" t="s">
        <v>40</v>
      </c>
      <c r="G24" s="9" t="s">
        <v>46</v>
      </c>
      <c r="H24" s="9">
        <v>1.0</v>
      </c>
      <c r="I24" s="9">
        <v>1.0</v>
      </c>
      <c r="J24" s="9">
        <v>1.0</v>
      </c>
      <c r="K24" s="9">
        <v>1.0</v>
      </c>
      <c r="L24" s="9">
        <v>1.0</v>
      </c>
      <c r="M24" s="9">
        <v>1.0</v>
      </c>
      <c r="N24" s="9">
        <v>1.0</v>
      </c>
      <c r="O24" s="9">
        <v>1.0</v>
      </c>
      <c r="P24" s="9">
        <v>1.0</v>
      </c>
      <c r="Q24" s="9" t="s">
        <v>48</v>
      </c>
      <c r="R24" s="9" t="s">
        <v>48</v>
      </c>
    </row>
    <row r="25" ht="22.5" customHeight="1">
      <c r="A25" s="8">
        <v>46303.71502304398</v>
      </c>
      <c r="B25" s="9" t="s">
        <v>18</v>
      </c>
      <c r="C25" s="10">
        <v>46303.0</v>
      </c>
      <c r="D25" s="9" t="s">
        <v>49</v>
      </c>
      <c r="F25" s="9" t="s">
        <v>40</v>
      </c>
      <c r="G25" s="9" t="s">
        <v>50</v>
      </c>
      <c r="H25" s="9">
        <v>1.0</v>
      </c>
      <c r="I25" s="9">
        <v>1.0</v>
      </c>
      <c r="J25" s="9">
        <v>1.0</v>
      </c>
      <c r="K25" s="9">
        <v>1.0</v>
      </c>
      <c r="L25" s="9">
        <v>1.0</v>
      </c>
      <c r="M25" s="9">
        <v>1.0</v>
      </c>
      <c r="N25" s="9">
        <v>1.0</v>
      </c>
      <c r="O25" s="9">
        <v>1.0</v>
      </c>
      <c r="P25" s="9">
        <v>1.0</v>
      </c>
      <c r="R25" s="9" t="s">
        <v>51</v>
      </c>
    </row>
  </sheetData>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f>IFERROR(__xludf.DUMMYFUNCTION("FILTER({'Form Responses 1'!A2:A128, 'Form Responses 1'!Q2:Q128, 'Form Responses 1'!R2:R128}, ('Form Responses 1'!Q2:Q128 &lt;&gt; """") + ('Form Responses 1'!R2:R128 &lt;&gt; """"))"),45973.65823252314)</f>
        <v>45973.65823</v>
      </c>
      <c r="B1" s="2" t="str">
        <f>IFERROR(__xludf.DUMMYFUNCTION("""COMPUTED_VALUE"""),"Its good")</f>
        <v>Its good</v>
      </c>
      <c r="C1" s="2"/>
    </row>
    <row r="2">
      <c r="A2" s="1">
        <f>IFERROR(__xludf.DUMMYFUNCTION("""COMPUTED_VALUE"""),45975.386142372685)</f>
        <v>45975.38614</v>
      </c>
      <c r="B2" s="2"/>
      <c r="C2" s="2" t="str">
        <f>IFERROR(__xludf.DUMMYFUNCTION("""COMPUTED_VALUE"""),"none, if its not broke don't fix it. ")</f>
        <v>none, if its not broke don't fix it. </v>
      </c>
    </row>
    <row r="3">
      <c r="A3" s="1">
        <f>IFERROR(__xludf.DUMMYFUNCTION("""COMPUTED_VALUE"""),45975.659892118056)</f>
        <v>45975.65989</v>
      </c>
      <c r="B3" s="2" t="str">
        <f>IFERROR(__xludf.DUMMYFUNCTION("""COMPUTED_VALUE"""),"Verygood")</f>
        <v>Verygood</v>
      </c>
      <c r="C3" s="2" t="str">
        <f>IFERROR(__xludf.DUMMYFUNCTION("""COMPUTED_VALUE"""),"Berygood")</f>
        <v>Berygood</v>
      </c>
    </row>
    <row r="4">
      <c r="A4" s="1">
        <f>IFERROR(__xludf.DUMMYFUNCTION("""COMPUTED_VALUE"""),46003.566782650465)</f>
        <v>46003.56678</v>
      </c>
      <c r="B4" s="2" t="str">
        <f>IFERROR(__xludf.DUMMYFUNCTION("""COMPUTED_VALUE"""),"Officials have no sense of urgency")</f>
        <v>Officials have no sense of urgency</v>
      </c>
      <c r="C4" s="2"/>
    </row>
    <row r="5">
      <c r="A5" s="1">
        <f>IFERROR(__xludf.DUMMYFUNCTION("""COMPUTED_VALUE"""),46228.58243776621)</f>
        <v>46228.58244</v>
      </c>
      <c r="B5" s="2" t="str">
        <f>IFERROR(__xludf.DUMMYFUNCTION("""COMPUTED_VALUE"""),"Gawing one way lang, hindi pabalik-balik!!!!")</f>
        <v>Gawing one way lang, hindi pabalik-balik!!!!</v>
      </c>
      <c r="C5" s="2" t="str">
        <f>IFERROR(__xludf.DUMMYFUNCTION("""COMPUTED_VALUE"""),"Make the instruction clear. ")</f>
        <v>Make the instruction clear. </v>
      </c>
    </row>
    <row r="6">
      <c r="A6" s="1">
        <f>IFERROR(__xludf.DUMMYFUNCTION("""COMPUTED_VALUE"""),46230.402172546295)</f>
        <v>46230.40217</v>
      </c>
      <c r="B6" s="2" t="str">
        <f>IFERROR(__xludf.DUMMYFUNCTION("""COMPUTED_VALUE"""),"Staff wasn't accommodating me. ")</f>
        <v>Staff wasn't accommodating me. </v>
      </c>
      <c r="C6" s="2"/>
    </row>
    <row r="7">
      <c r="A7" s="1">
        <f>IFERROR(__xludf.DUMMYFUNCTION("""COMPUTED_VALUE"""),46239.38185821759)</f>
        <v>46239.38186</v>
      </c>
      <c r="B7" s="2" t="str">
        <f>IFERROR(__xludf.DUMMYFUNCTION("""COMPUTED_VALUE"""),"the staff must be professional during transactions and have some sense of urgency because we spend time to process our time and to be wasted by them by saying na “busy pa ko gha, pwede balikan mo lang karon” but when you look at them they were not doing t"&amp;"heir job probably, THEY WERE USING GADGETS AND SCROLLING THROUGH SOCIAL MEDIA. ")</f>
        <v>the staff must be professional during transactions and have some sense of urgency because we spend time to process our time and to be wasted by them by saying na “busy pa ko gha, pwede balikan mo lang karon” but when you look at them they were not doing their job probably, THEY WERE USING GADGETS AND SCROLLING THROUGH SOCIAL MEDIA. </v>
      </c>
      <c r="C7" s="2" t="str">
        <f>IFERROR(__xludf.DUMMYFUNCTION("""COMPUTED_VALUE"""),"the staff must be professional during transactions and have some sense of urgency because we spend time to process our time and to be wasted by them by saying na “busy pa ko gha, pwede balikan mo lang karon” but when you look at them they were not doing t"&amp;"heir job probably, THEY WERE USING GADGETS AND SCROLLING THROUGH SOCIAL MEDIA. ")</f>
        <v>the staff must be professional during transactions and have some sense of urgency because we spend time to process our time and to be wasted by them by saying na “busy pa ko gha, pwede balikan mo lang karon” but when you look at them they were not doing their job probably, THEY WERE USING GADGETS AND SCROLLING THROUGH SOCIAL MEDIA. </v>
      </c>
    </row>
    <row r="8">
      <c r="A8" s="1">
        <f>IFERROR(__xludf.DUMMYFUNCTION("""COMPUTED_VALUE"""),46239.38296379629)</f>
        <v>46239.38296</v>
      </c>
      <c r="B8" s="2" t="str">
        <f>IFERROR(__xludf.DUMMYFUNCTION("""COMPUTED_VALUE"""),"the staff must be professional during transactions and have some sense of urgency because we spend time to process our time and to be wasted by them by saying na “busy pa ko gha, pwede balikan mo lang karon?” but when you look at them they were not doing "&amp;"their job probably, THEY WERE USING GADGETS AND SCROLLING THROUGH SOCIAL MEDIA. ")</f>
        <v>the staff must be professional during transactions and have some sense of urgency because we spend time to process our time and to be wasted by them by saying na “busy pa ko gha, pwede balikan mo lang karon?” but when you look at them they were not doing their job probably, THEY WERE USING GADGETS AND SCROLLING THROUGH SOCIAL MEDIA. </v>
      </c>
      <c r="C8" s="2" t="str">
        <f>IFERROR(__xludf.DUMMYFUNCTION("""COMPUTED_VALUE"""),"the staff must be professional during transactions and have some sense of urgency because we spend time to process our time and to be wasted by them by saying na “busy pa ko gha, pwede balikan mo lang karon?” but when you look at them they were not doing "&amp;"their job probably, THEY WERE USING GADGETS AND SCROLLING THROUGH SOCIAL MEDIA. ")</f>
        <v>the staff must be professional during transactions and have some sense of urgency because we spend time to process our time and to be wasted by them by saying na “busy pa ko gha, pwede balikan mo lang karon?” but when you look at them they were not doing their job probably, THEY WERE USING GADGETS AND SCROLLING THROUGH SOCIAL MEDIA. </v>
      </c>
    </row>
    <row r="9">
      <c r="A9" s="1">
        <f>IFERROR(__xludf.DUMMYFUNCTION("""COMPUTED_VALUE"""),46303.71502304398)</f>
        <v>46303.71502</v>
      </c>
      <c r="B9" s="2"/>
      <c r="C9" s="2" t="str">
        <f>IFERROR(__xludf.DUMMYFUNCTION("""COMPUTED_VALUE"""),"MAS DAMO PA ANG TSISMIS SA GUWA SANG OPISINA SANG SA ILA UBRA. WALA GID GAYUHOM KAY MGA SUPLADA. GAPANGAKIG KUNG PAMANGKUTON. NOT APPROPRIATE.")</f>
        <v>MAS DAMO PA ANG TSISMIS SA GUWA SANG OPISINA SANG SA ILA UBRA. WALA GID GAYUHOM KAY MGA SUPLADA. GAPANGAKIG KUNG PAMANGKUTON. NOT APPROPRIATE.</v>
      </c>
    </row>
  </sheetData>
  <drawing r:id="rId1"/>
</worksheet>
</file>