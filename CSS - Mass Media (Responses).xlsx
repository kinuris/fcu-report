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1'!$A$1:$S$58</definedName>
  </definedNames>
  <calcPr/>
</workbook>
</file>

<file path=xl/sharedStrings.xml><?xml version="1.0" encoding="utf-8"?>
<sst xmlns="http://schemas.openxmlformats.org/spreadsheetml/2006/main" count="275" uniqueCount="88">
  <si>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</si>
  <si>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</si>
  <si>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</si>
  <si>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</si>
  <si>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</si>
  <si>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</si>
  <si>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Mass Media and Promotions Office</t>
  </si>
  <si>
    <t xml:space="preserve">COURTESY AND PROFESSIONALISM OF MASS MEDIA STAFF </t>
  </si>
  <si>
    <t xml:space="preserve">CLARITY OF INFORMATION PROVIDED </t>
  </si>
  <si>
    <t xml:space="preserve">PROMPTNESS OF SERVICE </t>
  </si>
  <si>
    <t xml:space="preserve">EFFICIENCY OF TRANSACTION PROCESS </t>
  </si>
  <si>
    <r>
      <rPr>
        <rFont val="Arial"/>
        <b/>
        <color theme="1"/>
      </rPr>
      <t>COSTS:</t>
    </r>
    <r>
      <rPr>
        <rFont val="Arial"/>
        <color theme="1"/>
      </rPr>
      <t xml:space="preserve">  The fees I paid for my transaction were fair and reasonable.</t>
    </r>
  </si>
  <si>
    <r>
      <rPr>
        <rFont val="Arial"/>
        <b/>
        <color theme="1"/>
      </rPr>
      <t xml:space="preserve">INTEGRITY: </t>
    </r>
    <r>
      <rPr>
        <rFont val="Arial"/>
        <color theme="1"/>
      </rPr>
      <t>The office treated me fairly and honestly during my transaction.</t>
    </r>
  </si>
  <si>
    <r>
      <rPr>
        <rFont val="Arial"/>
        <b/>
        <color theme="1"/>
      </rPr>
      <t xml:space="preserve">ASSURANCE: </t>
    </r>
    <r>
      <rPr>
        <rFont val="Arial"/>
        <color theme="1"/>
      </rPr>
      <t>I was treated professionally by a knowledgeable and polite staff.</t>
    </r>
  </si>
  <si>
    <r>
      <rPr>
        <rFont val="Arial"/>
        <b/>
        <color theme="1"/>
      </rPr>
      <t>OUTCOME:</t>
    </r>
    <r>
      <rPr>
        <rFont val="Arial"/>
        <color theme="1"/>
      </rPr>
      <t xml:space="preserve"> I’m satisfied with my overall transaction with the office.</t>
    </r>
  </si>
  <si>
    <t xml:space="preserve">How likely are you to recommend our services to others? </t>
  </si>
  <si>
    <t>What can we improve in our daily services?</t>
  </si>
  <si>
    <t>Additional comments:</t>
  </si>
  <si>
    <t xml:space="preserve">OVERALL SATISFACTION </t>
  </si>
  <si>
    <t>I AGREE</t>
  </si>
  <si>
    <t>FCU Faculty/Staff</t>
  </si>
  <si>
    <t>NSTP Office</t>
  </si>
  <si>
    <t>Female</t>
  </si>
  <si>
    <t>Borrowing of Projector</t>
  </si>
  <si>
    <t>shs</t>
  </si>
  <si>
    <t>Male</t>
  </si>
  <si>
    <t>Student</t>
  </si>
  <si>
    <t>FCU ROTC UNIT</t>
  </si>
  <si>
    <t>Good</t>
  </si>
  <si>
    <t>None</t>
  </si>
  <si>
    <t xml:space="preserve">Thank you for accommodating us. </t>
  </si>
  <si>
    <t xml:space="preserve">Elementary </t>
  </si>
  <si>
    <t>With excellent service.</t>
  </si>
  <si>
    <t>SHS</t>
  </si>
  <si>
    <t>Requesting Tarpaulin Printing, Posting and Publishing</t>
  </si>
  <si>
    <t xml:space="preserve">Very accommodating </t>
  </si>
  <si>
    <t xml:space="preserve">Senior High School Department </t>
  </si>
  <si>
    <t xml:space="preserve">Senior high school </t>
  </si>
  <si>
    <t>Guest</t>
  </si>
  <si>
    <t>Inquiry on school programs, schedule, updates, requests, etc.</t>
  </si>
  <si>
    <t>Filamer Christian University</t>
  </si>
  <si>
    <t>Approval  of Content for Publication, Requesting Tarpaulin Printing, Posting and Publishing, Borrowing of Projector, Request for Documentation of Events and Media Coverage, Inquiry on school programs, schedule, updates, requests, etc.</t>
  </si>
  <si>
    <t>CCS</t>
  </si>
  <si>
    <t>Approval  of Content for Publication</t>
  </si>
  <si>
    <t>Senior High School</t>
  </si>
  <si>
    <t>Approval  of Content for Publication, Request for Documentation of Events and Media Coverage, Inquiry on school programs, schedule, updates, requests, etc.</t>
  </si>
  <si>
    <t>Saks lang</t>
  </si>
  <si>
    <t>Nice one</t>
  </si>
  <si>
    <t>SHS - STEM</t>
  </si>
  <si>
    <t>Approval  of Content for Publication, Request for Documentation of Events and Media Coverage</t>
  </si>
  <si>
    <t>BSED Major in English</t>
  </si>
  <si>
    <t>When it comes to suspension of classes</t>
  </si>
  <si>
    <t xml:space="preserve">Filamer Christian University Inc. ASSH 11- Humility </t>
  </si>
  <si>
    <t>Borrowing of Projector, Inquiry on school programs, schedule, updates, requests, etc.</t>
  </si>
  <si>
    <t>Borrowing of Projector, Request for Documentation of Events and Media Coverage, Inquiry on school programs, schedule, updates, requests, etc.</t>
  </si>
  <si>
    <t>Grade 11- STEM (FCU)</t>
  </si>
  <si>
    <t>Mass Media and Promotions Office can improve by making their announcements more consistent, clear and timely so students will be updated about school activities and events</t>
  </si>
  <si>
    <t>CTE, FCU</t>
  </si>
  <si>
    <t xml:space="preserve">Request for Documentation of Events and Media Coverage, Inquiry on school programs, schedule, updates, requests, etc., </t>
  </si>
  <si>
    <t>The daily services are already accessible, clear, and well-organized. Perhaps, maintaining the same level of responsiveness while continuing to improve the speed and efficiency of service would be helpful.</t>
  </si>
  <si>
    <t>I appreciate the department’s effort to provide accessible, clear, and efficient services. Thank you for being responsive to the needs and concerns of students. I hope you continue providing the same quality of service.</t>
  </si>
  <si>
    <t>Approval  of Content for Publication, Inquiry on school programs, schedule, updates, requests, etc.</t>
  </si>
  <si>
    <t>Posting of scheduled suspensions</t>
  </si>
  <si>
    <t xml:space="preserve">Service is good and transactions are transparent </t>
  </si>
  <si>
    <t xml:space="preserve">nothing, everything is good </t>
  </si>
  <si>
    <t>N/A</t>
  </si>
  <si>
    <t>CTE - BSEd English-1B</t>
  </si>
  <si>
    <t>nothing keep up the great work</t>
  </si>
  <si>
    <t>please include working students on our off days HAHAHAHA we dont actually disappear when classes are out huhuh</t>
  </si>
  <si>
    <t>Shs</t>
  </si>
  <si>
    <t xml:space="preserve">none </t>
  </si>
  <si>
    <t>overall good job</t>
  </si>
  <si>
    <t>CTE</t>
  </si>
  <si>
    <t>Yes</t>
  </si>
  <si>
    <t>.</t>
  </si>
  <si>
    <t>THES</t>
  </si>
  <si>
    <t>Request for Documentation of Events and Media Coverage</t>
  </si>
  <si>
    <t>none</t>
  </si>
  <si>
    <t xml:space="preserve">None </t>
  </si>
  <si>
    <t>The Hillside Echo Senior</t>
  </si>
  <si>
    <t xml:space="preserve">Inquiry on school programs, schedule, updates, requests, etc., </t>
  </si>
  <si>
    <t>Prefer not to say</t>
  </si>
  <si>
    <t xml:space="preserve"> </t>
  </si>
  <si>
    <t>CTE/BSED-ENGLISH/1A</t>
  </si>
  <si>
    <t xml:space="preserve">there is nothing I can say about your work guys. Because I didn't understand how you do it. But in my own observation, Job well done. </t>
  </si>
  <si>
    <t xml:space="preserve">None. </t>
  </si>
  <si>
    <t>Request for Documentation of Events and Media Coverage, Inquiry on school programs, schedule, updates, requests, etc.</t>
  </si>
  <si>
    <t>Tine management and Skills by practicing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</si>
</sst>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1.0"/>
      <color rgb="FFE6E8F0"/>
      <name val="Monospace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D1E26"/>
        <bgColor rgb="FF1D1E2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164" xfId="0" applyFill="1" applyFont="1" applyNumberForma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8" displayName="Form_Responses" name="Form_Responses" id="1">
  <autoFilter ref="$A$1:$S$58">
    <filterColumn colId="3">
      <filters>
        <filter val="Guest"/>
      </filters>
    </filterColumn>
  </autoFilter>
  <tableColumns count="19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Mass Media and Promotions Office" id="7"/>
    <tableColumn name="COURTESY AND PROFESSIONALISM OF MASS MEDIA STAFF " id="8"/>
    <tableColumn name="CLARITY OF INFORMATION PROVIDED " id="9"/>
    <tableColumn name="PROMPTNESS OF SERVICE " id="10"/>
    <tableColumn name="EFFICIENCY OF TRANSACTION PROCESS " id="11"/>
    <tableColumn name="COSTS:  The fees I paid for my transaction were fair and reasonable." id="12"/>
    <tableColumn name="INTEGRITY: The office treated me fairly and honestly during my transaction." id="13"/>
    <tableColumn name="ASSURANCE: I was treated professionally by a knowledgeable and polite staff." id="14"/>
    <tableColumn name="OUTCOME: I’m satisfied with my overall transaction with the office." id="15"/>
    <tableColumn name="How likely are you to recommend our services to others? " id="16"/>
    <tableColumn name="What can we improve in our daily services?" id="17"/>
    <tableColumn name="Additional comments:" id="18"/>
    <tableColumn name="OVERALL SATISFACTION 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18" width="37.63"/>
    <col customWidth="1" min="19" max="25" width="18.88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</row>
    <row r="2" ht="22.5" hidden="1" customHeight="1">
      <c r="A2" s="7">
        <v>45974.68709554398</v>
      </c>
      <c r="B2" s="8" t="s">
        <v>19</v>
      </c>
      <c r="C2" s="9">
        <v>45974.0</v>
      </c>
      <c r="D2" s="8" t="s">
        <v>20</v>
      </c>
      <c r="E2" s="8" t="s">
        <v>21</v>
      </c>
      <c r="F2" s="8" t="s">
        <v>22</v>
      </c>
      <c r="G2" s="8" t="s">
        <v>23</v>
      </c>
      <c r="H2" s="8">
        <v>5.0</v>
      </c>
      <c r="I2" s="8">
        <v>5.0</v>
      </c>
      <c r="J2" s="10"/>
      <c r="K2" s="8">
        <v>5.0</v>
      </c>
      <c r="L2" s="10"/>
      <c r="M2" s="8">
        <v>5.0</v>
      </c>
      <c r="N2" s="8">
        <v>5.0</v>
      </c>
      <c r="O2" s="8">
        <v>5.0</v>
      </c>
      <c r="P2" s="8">
        <v>10.0</v>
      </c>
      <c r="Q2" s="10"/>
      <c r="R2" s="10"/>
      <c r="S2" s="10"/>
    </row>
    <row r="3" ht="22.5" hidden="1" customHeight="1">
      <c r="A3" s="7">
        <v>45974.68748465278</v>
      </c>
      <c r="B3" s="8" t="s">
        <v>19</v>
      </c>
      <c r="C3" s="9">
        <v>45974.0</v>
      </c>
      <c r="D3" s="8" t="s">
        <v>20</v>
      </c>
      <c r="E3" s="8" t="s">
        <v>24</v>
      </c>
      <c r="F3" s="8" t="s">
        <v>25</v>
      </c>
      <c r="G3" s="8" t="s">
        <v>23</v>
      </c>
      <c r="H3" s="8">
        <v>5.0</v>
      </c>
      <c r="I3" s="8">
        <v>5.0</v>
      </c>
      <c r="J3" s="8">
        <v>5.0</v>
      </c>
      <c r="K3" s="8">
        <v>5.0</v>
      </c>
      <c r="L3" s="8">
        <v>5.0</v>
      </c>
      <c r="M3" s="8">
        <v>5.0</v>
      </c>
      <c r="N3" s="8">
        <v>5.0</v>
      </c>
      <c r="O3" s="8">
        <v>5.0</v>
      </c>
      <c r="P3" s="8">
        <v>10.0</v>
      </c>
      <c r="Q3" s="10"/>
      <c r="R3" s="10"/>
      <c r="S3" s="10"/>
    </row>
    <row r="4" ht="22.5" hidden="1" customHeight="1">
      <c r="A4" s="7">
        <v>45978.374041840274</v>
      </c>
      <c r="B4" s="8" t="s">
        <v>19</v>
      </c>
      <c r="C4" s="9">
        <v>45978.0</v>
      </c>
      <c r="D4" s="8" t="s">
        <v>26</v>
      </c>
      <c r="E4" s="8" t="s">
        <v>27</v>
      </c>
      <c r="F4" s="8" t="s">
        <v>25</v>
      </c>
      <c r="G4" s="8" t="s">
        <v>23</v>
      </c>
      <c r="H4" s="8">
        <v>5.0</v>
      </c>
      <c r="I4" s="8">
        <v>5.0</v>
      </c>
      <c r="J4" s="8">
        <v>5.0</v>
      </c>
      <c r="K4" s="8">
        <v>5.0</v>
      </c>
      <c r="L4" s="8">
        <v>5.0</v>
      </c>
      <c r="M4" s="8">
        <v>5.0</v>
      </c>
      <c r="N4" s="8">
        <v>5.0</v>
      </c>
      <c r="O4" s="8">
        <v>5.0</v>
      </c>
      <c r="P4" s="8">
        <v>10.0</v>
      </c>
      <c r="Q4" s="8" t="s">
        <v>28</v>
      </c>
      <c r="R4" s="8" t="s">
        <v>29</v>
      </c>
      <c r="S4" s="11"/>
    </row>
    <row r="5" ht="22.5" hidden="1" customHeight="1">
      <c r="A5" s="7">
        <v>45982.1432908912</v>
      </c>
      <c r="B5" s="8" t="s">
        <v>19</v>
      </c>
      <c r="C5" s="9">
        <v>45936.0</v>
      </c>
      <c r="D5" s="8" t="s">
        <v>20</v>
      </c>
      <c r="E5" s="10"/>
      <c r="F5" s="8" t="s">
        <v>22</v>
      </c>
      <c r="G5" s="8" t="s">
        <v>23</v>
      </c>
      <c r="H5" s="8">
        <v>5.0</v>
      </c>
      <c r="I5" s="8">
        <v>5.0</v>
      </c>
      <c r="J5" s="8">
        <v>5.0</v>
      </c>
      <c r="K5" s="8">
        <v>5.0</v>
      </c>
      <c r="L5" s="8">
        <v>5.0</v>
      </c>
      <c r="M5" s="8">
        <v>5.0</v>
      </c>
      <c r="N5" s="8">
        <v>5.0</v>
      </c>
      <c r="O5" s="8">
        <v>5.0</v>
      </c>
      <c r="P5" s="8">
        <v>10.0</v>
      </c>
      <c r="Q5" s="8" t="s">
        <v>30</v>
      </c>
      <c r="R5" s="10"/>
      <c r="S5" s="10"/>
    </row>
    <row r="6" ht="22.5" hidden="1" customHeight="1">
      <c r="A6" s="12">
        <v>45989.67802741898</v>
      </c>
      <c r="B6" s="13" t="s">
        <v>19</v>
      </c>
      <c r="C6" s="14">
        <v>45989.0</v>
      </c>
      <c r="D6" s="13" t="s">
        <v>20</v>
      </c>
      <c r="E6" s="13" t="s">
        <v>31</v>
      </c>
      <c r="F6" s="13" t="s">
        <v>22</v>
      </c>
      <c r="G6" s="13" t="s">
        <v>23</v>
      </c>
      <c r="H6" s="13">
        <v>5.0</v>
      </c>
      <c r="I6" s="13">
        <v>5.0</v>
      </c>
      <c r="J6" s="13">
        <v>5.0</v>
      </c>
      <c r="K6" s="13">
        <v>5.0</v>
      </c>
      <c r="L6" s="13">
        <v>5.0</v>
      </c>
      <c r="M6" s="13">
        <v>5.0</v>
      </c>
      <c r="N6" s="13">
        <v>5.0</v>
      </c>
      <c r="O6" s="13">
        <v>5.0</v>
      </c>
      <c r="P6" s="13">
        <v>10.0</v>
      </c>
      <c r="Q6" s="13" t="s">
        <v>32</v>
      </c>
    </row>
    <row r="7" ht="22.5" hidden="1" customHeight="1">
      <c r="A7" s="12">
        <v>45994.38861253472</v>
      </c>
      <c r="B7" s="13" t="s">
        <v>19</v>
      </c>
      <c r="C7" s="14">
        <v>45994.0</v>
      </c>
      <c r="D7" s="13" t="s">
        <v>26</v>
      </c>
      <c r="E7" s="13" t="s">
        <v>33</v>
      </c>
      <c r="F7" s="13" t="s">
        <v>22</v>
      </c>
      <c r="G7" s="13" t="s">
        <v>34</v>
      </c>
      <c r="H7" s="13">
        <v>5.0</v>
      </c>
      <c r="I7" s="13">
        <v>5.0</v>
      </c>
      <c r="J7" s="13">
        <v>5.0</v>
      </c>
      <c r="K7" s="13">
        <v>5.0</v>
      </c>
      <c r="L7" s="13">
        <v>5.0</v>
      </c>
      <c r="M7" s="13">
        <v>5.0</v>
      </c>
      <c r="N7" s="13">
        <v>5.0</v>
      </c>
      <c r="O7" s="13">
        <v>5.0</v>
      </c>
      <c r="P7" s="13">
        <v>10.0</v>
      </c>
      <c r="Q7" s="13" t="s">
        <v>35</v>
      </c>
      <c r="R7" s="13" t="s">
        <v>29</v>
      </c>
      <c r="S7" s="15"/>
    </row>
    <row r="8" ht="22.5" hidden="1" customHeight="1">
      <c r="A8" s="12">
        <v>45994.38963078704</v>
      </c>
      <c r="B8" s="13" t="s">
        <v>19</v>
      </c>
      <c r="C8" s="14">
        <v>45994.0</v>
      </c>
      <c r="D8" s="13" t="s">
        <v>26</v>
      </c>
      <c r="E8" s="13" t="s">
        <v>36</v>
      </c>
      <c r="F8" s="13" t="s">
        <v>22</v>
      </c>
      <c r="G8" s="13" t="s">
        <v>34</v>
      </c>
      <c r="H8" s="13">
        <v>5.0</v>
      </c>
      <c r="I8" s="13">
        <v>5.0</v>
      </c>
      <c r="J8" s="13">
        <v>5.0</v>
      </c>
      <c r="K8" s="13">
        <v>5.0</v>
      </c>
      <c r="L8" s="13">
        <v>5.0</v>
      </c>
      <c r="M8" s="13">
        <v>5.0</v>
      </c>
      <c r="N8" s="13">
        <v>5.0</v>
      </c>
      <c r="O8" s="13">
        <v>5.0</v>
      </c>
      <c r="P8" s="13">
        <v>10.0</v>
      </c>
    </row>
    <row r="9" ht="22.5" hidden="1" customHeight="1">
      <c r="A9" s="12">
        <v>45994.38984575232</v>
      </c>
      <c r="B9" s="13" t="s">
        <v>19</v>
      </c>
      <c r="C9" s="14">
        <v>45994.0</v>
      </c>
      <c r="D9" s="13" t="s">
        <v>20</v>
      </c>
      <c r="E9" s="13" t="s">
        <v>37</v>
      </c>
      <c r="F9" s="13" t="s">
        <v>22</v>
      </c>
      <c r="G9" s="13" t="s">
        <v>34</v>
      </c>
      <c r="H9" s="13">
        <v>5.0</v>
      </c>
      <c r="I9" s="13">
        <v>5.0</v>
      </c>
      <c r="J9" s="13">
        <v>5.0</v>
      </c>
      <c r="K9" s="13">
        <v>5.0</v>
      </c>
      <c r="L9" s="13">
        <v>5.0</v>
      </c>
      <c r="M9" s="13">
        <v>5.0</v>
      </c>
      <c r="N9" s="13">
        <v>5.0</v>
      </c>
      <c r="O9" s="13">
        <v>5.0</v>
      </c>
      <c r="P9" s="13">
        <v>10.0</v>
      </c>
    </row>
    <row r="10" ht="22.5" customHeight="1">
      <c r="A10" s="12">
        <v>46034.38966997685</v>
      </c>
      <c r="B10" s="13" t="s">
        <v>19</v>
      </c>
      <c r="C10" s="14">
        <v>46034.0</v>
      </c>
      <c r="D10" s="13" t="s">
        <v>38</v>
      </c>
      <c r="F10" s="13" t="s">
        <v>25</v>
      </c>
      <c r="G10" s="13" t="s">
        <v>39</v>
      </c>
      <c r="H10" s="13">
        <v>4.0</v>
      </c>
      <c r="I10" s="13">
        <v>5.0</v>
      </c>
      <c r="J10" s="13">
        <v>4.0</v>
      </c>
      <c r="K10" s="13">
        <v>4.0</v>
      </c>
      <c r="L10" s="13">
        <v>5.0</v>
      </c>
      <c r="M10" s="13">
        <v>5.0</v>
      </c>
      <c r="N10" s="13">
        <v>4.0</v>
      </c>
      <c r="O10" s="13">
        <v>4.0</v>
      </c>
      <c r="P10" s="13">
        <v>8.0</v>
      </c>
    </row>
    <row r="11" ht="22.5" hidden="1" customHeight="1">
      <c r="A11" s="12">
        <v>46073.476405</v>
      </c>
      <c r="B11" s="13" t="s">
        <v>19</v>
      </c>
      <c r="C11" s="14">
        <v>46073.0</v>
      </c>
      <c r="D11" s="13" t="s">
        <v>26</v>
      </c>
      <c r="E11" s="13" t="s">
        <v>40</v>
      </c>
      <c r="F11" s="13" t="s">
        <v>25</v>
      </c>
      <c r="G11" s="13" t="s">
        <v>41</v>
      </c>
      <c r="H11" s="13">
        <v>5.0</v>
      </c>
      <c r="I11" s="13">
        <v>5.0</v>
      </c>
      <c r="J11" s="13">
        <v>5.0</v>
      </c>
      <c r="K11" s="13">
        <v>5.0</v>
      </c>
      <c r="Q11" s="13" t="s">
        <v>29</v>
      </c>
      <c r="R11" s="13" t="s">
        <v>29</v>
      </c>
      <c r="S11" s="13">
        <v>5.0</v>
      </c>
    </row>
    <row r="12" ht="22.5" hidden="1" customHeight="1">
      <c r="A12" s="12">
        <v>46076.61676333333</v>
      </c>
      <c r="B12" s="13" t="s">
        <v>19</v>
      </c>
      <c r="C12" s="14">
        <v>46076.0</v>
      </c>
      <c r="D12" s="13" t="s">
        <v>26</v>
      </c>
      <c r="E12" s="13" t="s">
        <v>42</v>
      </c>
      <c r="F12" s="13" t="s">
        <v>22</v>
      </c>
      <c r="G12" s="13" t="s">
        <v>43</v>
      </c>
      <c r="H12" s="13">
        <v>5.0</v>
      </c>
      <c r="I12" s="13">
        <v>5.0</v>
      </c>
      <c r="J12" s="13">
        <v>5.0</v>
      </c>
      <c r="K12" s="13">
        <v>5.0</v>
      </c>
      <c r="S12" s="13">
        <v>5.0</v>
      </c>
    </row>
    <row r="13" ht="22.5" hidden="1" customHeight="1">
      <c r="A13" s="12">
        <v>46076.62573667824</v>
      </c>
      <c r="B13" s="13" t="s">
        <v>19</v>
      </c>
      <c r="C13" s="14">
        <v>46076.0</v>
      </c>
      <c r="D13" s="13" t="s">
        <v>26</v>
      </c>
      <c r="F13" s="13" t="s">
        <v>22</v>
      </c>
      <c r="G13" s="13" t="s">
        <v>41</v>
      </c>
      <c r="H13" s="13">
        <v>5.0</v>
      </c>
      <c r="I13" s="13">
        <v>5.0</v>
      </c>
      <c r="J13" s="13">
        <v>5.0</v>
      </c>
      <c r="K13" s="13">
        <v>5.0</v>
      </c>
      <c r="S13" s="13">
        <v>5.0</v>
      </c>
    </row>
    <row r="14" ht="22.5" hidden="1" customHeight="1">
      <c r="A14" s="12">
        <v>46076.62821048611</v>
      </c>
      <c r="B14" s="13" t="s">
        <v>19</v>
      </c>
      <c r="C14" s="14">
        <v>46076.0</v>
      </c>
      <c r="D14" s="13" t="s">
        <v>26</v>
      </c>
      <c r="E14" s="13" t="s">
        <v>33</v>
      </c>
      <c r="F14" s="13" t="s">
        <v>22</v>
      </c>
      <c r="G14" s="13" t="s">
        <v>23</v>
      </c>
      <c r="H14" s="13">
        <v>5.0</v>
      </c>
      <c r="I14" s="13">
        <v>5.0</v>
      </c>
      <c r="J14" s="13">
        <v>5.0</v>
      </c>
      <c r="K14" s="13">
        <v>5.0</v>
      </c>
      <c r="S14" s="13">
        <v>5.0</v>
      </c>
    </row>
    <row r="15" ht="22.5" customHeight="1">
      <c r="A15" s="12">
        <v>46302.3657590625</v>
      </c>
      <c r="C15" s="14">
        <v>46302.0</v>
      </c>
      <c r="D15" s="13" t="s">
        <v>20</v>
      </c>
      <c r="E15" s="13" t="s">
        <v>33</v>
      </c>
      <c r="F15" s="13" t="s">
        <v>25</v>
      </c>
      <c r="G15" s="13" t="s">
        <v>34</v>
      </c>
      <c r="H15" s="13">
        <v>5.0</v>
      </c>
      <c r="I15" s="13">
        <v>5.0</v>
      </c>
      <c r="J15" s="13">
        <v>5.0</v>
      </c>
      <c r="K15" s="13">
        <v>5.0</v>
      </c>
      <c r="S15" s="13">
        <v>5.0</v>
      </c>
    </row>
    <row r="16" ht="22.5" customHeight="1">
      <c r="A16" s="12">
        <v>46302.36644732639</v>
      </c>
      <c r="C16" s="14">
        <v>46302.0</v>
      </c>
      <c r="D16" s="13" t="s">
        <v>26</v>
      </c>
      <c r="E16" s="13" t="s">
        <v>44</v>
      </c>
      <c r="F16" s="13" t="s">
        <v>22</v>
      </c>
      <c r="G16" s="13" t="s">
        <v>45</v>
      </c>
      <c r="H16" s="13">
        <v>5.0</v>
      </c>
      <c r="I16" s="13">
        <v>5.0</v>
      </c>
      <c r="J16" s="13">
        <v>5.0</v>
      </c>
      <c r="K16" s="13">
        <v>5.0</v>
      </c>
      <c r="S16" s="13">
        <v>5.0</v>
      </c>
    </row>
    <row r="17" ht="22.5" customHeight="1">
      <c r="A17" s="12">
        <v>46302.36737807871</v>
      </c>
      <c r="C17" s="14">
        <v>46302.0</v>
      </c>
      <c r="D17" s="13" t="s">
        <v>26</v>
      </c>
      <c r="F17" s="13" t="s">
        <v>22</v>
      </c>
      <c r="G17" s="13" t="s">
        <v>39</v>
      </c>
      <c r="H17" s="13">
        <v>5.0</v>
      </c>
      <c r="I17" s="13">
        <v>5.0</v>
      </c>
      <c r="J17" s="13">
        <v>5.0</v>
      </c>
      <c r="K17" s="13">
        <v>5.0</v>
      </c>
      <c r="S17" s="13">
        <v>5.0</v>
      </c>
    </row>
    <row r="18" ht="22.5" customHeight="1">
      <c r="A18" s="12">
        <v>46302.371886168985</v>
      </c>
      <c r="C18" s="14">
        <v>46302.0</v>
      </c>
      <c r="D18" s="13" t="s">
        <v>26</v>
      </c>
      <c r="E18" s="13" t="s">
        <v>33</v>
      </c>
      <c r="F18" s="13" t="s">
        <v>22</v>
      </c>
      <c r="G18" s="13" t="s">
        <v>43</v>
      </c>
      <c r="H18" s="13">
        <v>5.0</v>
      </c>
      <c r="I18" s="13">
        <v>5.0</v>
      </c>
      <c r="J18" s="13">
        <v>5.0</v>
      </c>
      <c r="K18" s="13">
        <v>5.0</v>
      </c>
      <c r="Q18" s="13" t="s">
        <v>46</v>
      </c>
      <c r="R18" s="13" t="s">
        <v>47</v>
      </c>
      <c r="S18" s="13">
        <v>5.0</v>
      </c>
    </row>
    <row r="19" ht="22.5" customHeight="1">
      <c r="A19" s="12">
        <v>46302.37306385417</v>
      </c>
      <c r="C19" s="14">
        <v>46302.0</v>
      </c>
      <c r="D19" s="13" t="s">
        <v>26</v>
      </c>
      <c r="E19" s="13" t="s">
        <v>48</v>
      </c>
      <c r="F19" s="13" t="s">
        <v>22</v>
      </c>
      <c r="G19" s="13" t="s">
        <v>49</v>
      </c>
      <c r="H19" s="13">
        <v>1.0</v>
      </c>
      <c r="I19" s="13">
        <v>1.0</v>
      </c>
      <c r="J19" s="13">
        <v>1.0</v>
      </c>
      <c r="K19" s="13">
        <v>1.0</v>
      </c>
      <c r="S19" s="13">
        <v>1.0</v>
      </c>
    </row>
    <row r="20" ht="22.5" customHeight="1">
      <c r="A20" s="12">
        <v>46302.37412385417</v>
      </c>
      <c r="C20" s="14">
        <v>38803.0</v>
      </c>
      <c r="D20" s="13" t="s">
        <v>26</v>
      </c>
      <c r="E20" s="13" t="s">
        <v>50</v>
      </c>
      <c r="F20" s="13" t="s">
        <v>22</v>
      </c>
      <c r="G20" s="13" t="s">
        <v>39</v>
      </c>
      <c r="H20" s="13">
        <v>5.0</v>
      </c>
      <c r="I20" s="13">
        <v>5.0</v>
      </c>
      <c r="J20" s="13">
        <v>5.0</v>
      </c>
      <c r="K20" s="13">
        <v>5.0</v>
      </c>
      <c r="S20" s="13">
        <v>5.0</v>
      </c>
    </row>
    <row r="21" ht="22.5" customHeight="1">
      <c r="A21" s="12">
        <v>46302.37439246528</v>
      </c>
      <c r="C21" s="14">
        <v>46302.0</v>
      </c>
      <c r="D21" s="13" t="s">
        <v>26</v>
      </c>
      <c r="E21" s="13" t="s">
        <v>33</v>
      </c>
      <c r="F21" s="13" t="s">
        <v>25</v>
      </c>
      <c r="G21" s="13" t="s">
        <v>43</v>
      </c>
      <c r="H21" s="13">
        <v>5.0</v>
      </c>
      <c r="I21" s="13">
        <v>5.0</v>
      </c>
      <c r="J21" s="13">
        <v>5.0</v>
      </c>
      <c r="K21" s="13">
        <v>5.0</v>
      </c>
      <c r="S21" s="13">
        <v>5.0</v>
      </c>
    </row>
    <row r="22" ht="22.5" customHeight="1">
      <c r="A22" s="12">
        <v>46302.37695092593</v>
      </c>
      <c r="C22" s="14">
        <v>46302.0</v>
      </c>
      <c r="D22" s="13" t="s">
        <v>26</v>
      </c>
      <c r="F22" s="13" t="s">
        <v>22</v>
      </c>
      <c r="G22" s="13" t="s">
        <v>39</v>
      </c>
      <c r="H22" s="13">
        <v>5.0</v>
      </c>
      <c r="I22" s="13">
        <v>5.0</v>
      </c>
      <c r="J22" s="13">
        <v>5.0</v>
      </c>
      <c r="K22" s="13">
        <v>2.0</v>
      </c>
      <c r="Q22" s="13" t="s">
        <v>51</v>
      </c>
      <c r="S22" s="13">
        <v>5.0</v>
      </c>
    </row>
    <row r="23" ht="22.5" customHeight="1">
      <c r="A23" s="12">
        <v>46302.377289745375</v>
      </c>
      <c r="C23" s="14">
        <v>46302.0</v>
      </c>
      <c r="D23" s="13" t="s">
        <v>26</v>
      </c>
      <c r="E23" s="13" t="s">
        <v>52</v>
      </c>
      <c r="F23" s="13" t="s">
        <v>22</v>
      </c>
      <c r="G23" s="13" t="s">
        <v>53</v>
      </c>
      <c r="H23" s="13">
        <v>5.0</v>
      </c>
      <c r="I23" s="13">
        <v>5.0</v>
      </c>
      <c r="J23" s="13">
        <v>5.0</v>
      </c>
      <c r="K23" s="13">
        <v>5.0</v>
      </c>
      <c r="S23" s="13">
        <v>5.0</v>
      </c>
    </row>
    <row r="24" ht="22.5" customHeight="1">
      <c r="A24" s="12">
        <v>46302.37755819444</v>
      </c>
      <c r="C24" s="14">
        <v>46302.0</v>
      </c>
      <c r="D24" s="13" t="s">
        <v>26</v>
      </c>
      <c r="F24" s="13" t="s">
        <v>25</v>
      </c>
      <c r="G24" s="13" t="s">
        <v>54</v>
      </c>
      <c r="H24" s="13">
        <v>5.0</v>
      </c>
      <c r="I24" s="13">
        <v>5.0</v>
      </c>
      <c r="J24" s="13">
        <v>5.0</v>
      </c>
      <c r="K24" s="13">
        <v>5.0</v>
      </c>
      <c r="S24" s="13">
        <v>5.0</v>
      </c>
    </row>
    <row r="25" ht="22.5" customHeight="1">
      <c r="A25" s="12">
        <v>46302.37759982639</v>
      </c>
      <c r="C25" s="14">
        <v>46302.0</v>
      </c>
      <c r="D25" s="13" t="s">
        <v>26</v>
      </c>
      <c r="E25" s="13" t="s">
        <v>55</v>
      </c>
      <c r="F25" s="13" t="s">
        <v>22</v>
      </c>
      <c r="G25" s="13" t="s">
        <v>43</v>
      </c>
      <c r="H25" s="13">
        <v>5.0</v>
      </c>
      <c r="I25" s="13">
        <v>5.0</v>
      </c>
      <c r="J25" s="13">
        <v>5.0</v>
      </c>
      <c r="K25" s="13">
        <v>5.0</v>
      </c>
      <c r="Q25" s="13" t="s">
        <v>56</v>
      </c>
      <c r="S25" s="13">
        <v>5.0</v>
      </c>
    </row>
    <row r="26" ht="22.5" customHeight="1">
      <c r="A26" s="12">
        <v>46302.3784831713</v>
      </c>
      <c r="C26" s="14">
        <v>46302.0</v>
      </c>
      <c r="D26" s="13" t="s">
        <v>26</v>
      </c>
      <c r="E26" s="13" t="s">
        <v>57</v>
      </c>
      <c r="F26" s="13" t="s">
        <v>22</v>
      </c>
      <c r="G26" s="13" t="s">
        <v>58</v>
      </c>
      <c r="H26" s="13">
        <v>5.0</v>
      </c>
      <c r="I26" s="13">
        <v>5.0</v>
      </c>
      <c r="J26" s="13">
        <v>4.0</v>
      </c>
      <c r="K26" s="13">
        <v>4.0</v>
      </c>
      <c r="Q26" s="13" t="s">
        <v>59</v>
      </c>
      <c r="R26" s="13" t="s">
        <v>60</v>
      </c>
      <c r="S26" s="13">
        <v>4.0</v>
      </c>
    </row>
    <row r="27" ht="22.5" customHeight="1">
      <c r="A27" s="12">
        <v>46302.37988467593</v>
      </c>
      <c r="C27" s="14">
        <v>46302.0</v>
      </c>
      <c r="D27" s="13" t="s">
        <v>26</v>
      </c>
      <c r="F27" s="13" t="s">
        <v>22</v>
      </c>
      <c r="G27" s="13" t="s">
        <v>43</v>
      </c>
      <c r="H27" s="13">
        <v>5.0</v>
      </c>
      <c r="I27" s="13">
        <v>5.0</v>
      </c>
      <c r="J27" s="13">
        <v>5.0</v>
      </c>
      <c r="K27" s="13">
        <v>5.0</v>
      </c>
      <c r="S27" s="13">
        <v>5.0</v>
      </c>
    </row>
    <row r="28" ht="22.5" customHeight="1">
      <c r="A28" s="12">
        <v>46302.37995625</v>
      </c>
      <c r="C28" s="14">
        <v>46302.0</v>
      </c>
      <c r="D28" s="13" t="s">
        <v>26</v>
      </c>
      <c r="F28" s="13" t="s">
        <v>22</v>
      </c>
      <c r="G28" s="13" t="s">
        <v>43</v>
      </c>
      <c r="H28" s="13">
        <v>5.0</v>
      </c>
      <c r="I28" s="13">
        <v>5.0</v>
      </c>
      <c r="J28" s="13">
        <v>5.0</v>
      </c>
      <c r="K28" s="13">
        <v>5.0</v>
      </c>
      <c r="S28" s="13">
        <v>5.0</v>
      </c>
    </row>
    <row r="29" ht="22.5" customHeight="1">
      <c r="A29" s="12">
        <v>46302.38031606481</v>
      </c>
      <c r="C29" s="14">
        <v>46302.0</v>
      </c>
      <c r="D29" s="13" t="s">
        <v>26</v>
      </c>
      <c r="F29" s="13" t="s">
        <v>22</v>
      </c>
      <c r="G29" s="13" t="s">
        <v>61</v>
      </c>
      <c r="H29" s="13">
        <v>5.0</v>
      </c>
      <c r="I29" s="13">
        <v>5.0</v>
      </c>
      <c r="J29" s="13">
        <v>5.0</v>
      </c>
      <c r="K29" s="13">
        <v>5.0</v>
      </c>
      <c r="Q29" s="13" t="s">
        <v>62</v>
      </c>
      <c r="R29" s="13" t="s">
        <v>63</v>
      </c>
      <c r="S29" s="13">
        <v>5.0</v>
      </c>
    </row>
    <row r="30" ht="22.5" customHeight="1">
      <c r="A30" s="12">
        <v>46302.38259739583</v>
      </c>
      <c r="C30" s="14">
        <v>46302.0</v>
      </c>
      <c r="D30" s="13" t="s">
        <v>26</v>
      </c>
      <c r="F30" s="13" t="s">
        <v>22</v>
      </c>
      <c r="G30" s="13" t="s">
        <v>39</v>
      </c>
      <c r="H30" s="13">
        <v>5.0</v>
      </c>
      <c r="I30" s="13">
        <v>5.0</v>
      </c>
      <c r="J30" s="13">
        <v>5.0</v>
      </c>
      <c r="K30" s="13">
        <v>5.0</v>
      </c>
      <c r="Q30" s="13" t="s">
        <v>64</v>
      </c>
      <c r="R30" s="13" t="s">
        <v>65</v>
      </c>
      <c r="S30" s="13">
        <v>5.0</v>
      </c>
    </row>
    <row r="31" ht="22.5" customHeight="1">
      <c r="A31" s="12">
        <v>46302.383491712964</v>
      </c>
      <c r="C31" s="14">
        <v>38348.0</v>
      </c>
      <c r="D31" s="13" t="s">
        <v>26</v>
      </c>
      <c r="E31" s="13" t="s">
        <v>66</v>
      </c>
      <c r="F31" s="13" t="s">
        <v>25</v>
      </c>
      <c r="G31" s="13" t="s">
        <v>39</v>
      </c>
      <c r="H31" s="13">
        <v>5.0</v>
      </c>
      <c r="I31" s="13">
        <v>5.0</v>
      </c>
      <c r="J31" s="13">
        <v>5.0</v>
      </c>
      <c r="K31" s="13">
        <v>5.0</v>
      </c>
      <c r="Q31" s="13" t="s">
        <v>67</v>
      </c>
      <c r="R31" s="13" t="s">
        <v>68</v>
      </c>
      <c r="S31" s="13">
        <v>5.0</v>
      </c>
    </row>
    <row r="32" ht="22.5" customHeight="1">
      <c r="A32" s="12">
        <v>46302.38358966435</v>
      </c>
      <c r="C32" s="14">
        <v>46302.0</v>
      </c>
      <c r="D32" s="13" t="s">
        <v>26</v>
      </c>
      <c r="E32" s="13" t="s">
        <v>69</v>
      </c>
      <c r="F32" s="13" t="s">
        <v>22</v>
      </c>
      <c r="G32" s="13" t="s">
        <v>23</v>
      </c>
      <c r="H32" s="13">
        <v>5.0</v>
      </c>
      <c r="I32" s="13">
        <v>5.0</v>
      </c>
      <c r="J32" s="13">
        <v>5.0</v>
      </c>
      <c r="K32" s="13">
        <v>5.0</v>
      </c>
      <c r="Q32" s="13" t="s">
        <v>70</v>
      </c>
      <c r="R32" s="13" t="s">
        <v>71</v>
      </c>
      <c r="S32" s="13">
        <v>5.0</v>
      </c>
    </row>
    <row r="33" ht="22.5" customHeight="1">
      <c r="A33" s="12">
        <v>46302.38436480324</v>
      </c>
      <c r="C33" s="14">
        <v>46302.0</v>
      </c>
      <c r="D33" s="13" t="s">
        <v>26</v>
      </c>
      <c r="F33" s="13" t="s">
        <v>22</v>
      </c>
      <c r="G33" s="13" t="s">
        <v>39</v>
      </c>
      <c r="H33" s="13">
        <v>5.0</v>
      </c>
      <c r="I33" s="13">
        <v>5.0</v>
      </c>
      <c r="J33" s="13">
        <v>5.0</v>
      </c>
      <c r="K33" s="13">
        <v>5.0</v>
      </c>
      <c r="S33" s="13">
        <v>5.0</v>
      </c>
    </row>
    <row r="34" ht="22.5" customHeight="1">
      <c r="A34" s="12">
        <v>46302.38478087963</v>
      </c>
      <c r="C34" s="14">
        <v>46302.0</v>
      </c>
      <c r="D34" s="13" t="s">
        <v>26</v>
      </c>
      <c r="E34" s="13" t="s">
        <v>72</v>
      </c>
      <c r="F34" s="13" t="s">
        <v>22</v>
      </c>
      <c r="G34" s="13" t="s">
        <v>49</v>
      </c>
      <c r="H34" s="13">
        <v>5.0</v>
      </c>
      <c r="I34" s="13">
        <v>5.0</v>
      </c>
      <c r="J34" s="13">
        <v>5.0</v>
      </c>
      <c r="K34" s="13">
        <v>5.0</v>
      </c>
      <c r="Q34" s="13" t="s">
        <v>73</v>
      </c>
      <c r="R34" s="13" t="s">
        <v>74</v>
      </c>
      <c r="S34" s="13">
        <v>5.0</v>
      </c>
    </row>
    <row r="35" ht="22.5" customHeight="1">
      <c r="A35" s="12">
        <v>46302.385085173606</v>
      </c>
      <c r="C35" s="14">
        <v>46300.0</v>
      </c>
      <c r="D35" s="13" t="s">
        <v>26</v>
      </c>
      <c r="F35" s="13" t="s">
        <v>22</v>
      </c>
      <c r="G35" s="13" t="s">
        <v>43</v>
      </c>
      <c r="H35" s="13">
        <v>5.0</v>
      </c>
      <c r="I35" s="13">
        <v>5.0</v>
      </c>
      <c r="J35" s="13">
        <v>5.0</v>
      </c>
      <c r="K35" s="13">
        <v>5.0</v>
      </c>
      <c r="S35" s="13">
        <v>5.0</v>
      </c>
    </row>
    <row r="36" ht="22.5" customHeight="1">
      <c r="A36" s="12">
        <v>46302.38945310185</v>
      </c>
      <c r="C36" s="14">
        <v>46302.0</v>
      </c>
      <c r="D36" s="13" t="s">
        <v>26</v>
      </c>
      <c r="E36" s="13" t="s">
        <v>75</v>
      </c>
      <c r="F36" s="13" t="s">
        <v>25</v>
      </c>
      <c r="G36" s="13" t="s">
        <v>76</v>
      </c>
      <c r="H36" s="13">
        <v>4.0</v>
      </c>
      <c r="I36" s="13">
        <v>4.0</v>
      </c>
      <c r="J36" s="13">
        <v>5.0</v>
      </c>
      <c r="K36" s="13">
        <v>5.0</v>
      </c>
      <c r="S36" s="13">
        <v>5.0</v>
      </c>
    </row>
    <row r="37" ht="22.5" customHeight="1">
      <c r="A37" s="12">
        <v>46302.39221335648</v>
      </c>
      <c r="C37" s="14">
        <v>46302.0</v>
      </c>
      <c r="D37" s="13" t="s">
        <v>26</v>
      </c>
      <c r="F37" s="13" t="s">
        <v>22</v>
      </c>
      <c r="G37" s="13" t="s">
        <v>23</v>
      </c>
      <c r="H37" s="13">
        <v>5.0</v>
      </c>
      <c r="I37" s="13">
        <v>5.0</v>
      </c>
      <c r="J37" s="13">
        <v>5.0</v>
      </c>
      <c r="K37" s="13">
        <v>5.0</v>
      </c>
      <c r="S37" s="13">
        <v>5.0</v>
      </c>
    </row>
    <row r="38" ht="22.5" customHeight="1">
      <c r="A38" s="12">
        <v>46302.39320844907</v>
      </c>
      <c r="C38" s="14">
        <v>46302.0</v>
      </c>
      <c r="D38" s="13" t="s">
        <v>26</v>
      </c>
      <c r="E38" s="13" t="s">
        <v>33</v>
      </c>
      <c r="F38" s="13" t="s">
        <v>25</v>
      </c>
      <c r="G38" s="13" t="s">
        <v>34</v>
      </c>
      <c r="H38" s="13">
        <v>4.0</v>
      </c>
      <c r="I38" s="13">
        <v>4.0</v>
      </c>
      <c r="J38" s="13">
        <v>5.0</v>
      </c>
      <c r="K38" s="13">
        <v>4.0</v>
      </c>
      <c r="S38" s="13">
        <v>4.0</v>
      </c>
    </row>
    <row r="39" ht="22.5" customHeight="1">
      <c r="A39" s="12">
        <v>46302.3941347338</v>
      </c>
      <c r="C39" s="14">
        <v>46302.0</v>
      </c>
      <c r="D39" s="13" t="s">
        <v>26</v>
      </c>
      <c r="F39" s="13" t="s">
        <v>22</v>
      </c>
      <c r="G39" s="13" t="s">
        <v>43</v>
      </c>
      <c r="H39" s="13">
        <v>5.0</v>
      </c>
      <c r="I39" s="13">
        <v>5.0</v>
      </c>
      <c r="J39" s="13">
        <v>5.0</v>
      </c>
      <c r="K39" s="13">
        <v>5.0</v>
      </c>
      <c r="S39" s="13">
        <v>5.0</v>
      </c>
    </row>
    <row r="40" ht="22.5" customHeight="1">
      <c r="A40" s="12">
        <v>46302.39667326389</v>
      </c>
      <c r="C40" s="14">
        <v>46302.0</v>
      </c>
      <c r="D40" s="13" t="s">
        <v>26</v>
      </c>
      <c r="E40" s="13" t="s">
        <v>72</v>
      </c>
      <c r="F40" s="13" t="s">
        <v>22</v>
      </c>
      <c r="G40" s="13" t="s">
        <v>39</v>
      </c>
      <c r="H40" s="13">
        <v>5.0</v>
      </c>
      <c r="I40" s="13">
        <v>5.0</v>
      </c>
      <c r="J40" s="13">
        <v>5.0</v>
      </c>
      <c r="K40" s="13">
        <v>5.0</v>
      </c>
      <c r="Q40" s="13" t="s">
        <v>29</v>
      </c>
      <c r="R40" s="13" t="s">
        <v>29</v>
      </c>
      <c r="S40" s="13">
        <v>5.0</v>
      </c>
    </row>
    <row r="41" ht="22.5" customHeight="1">
      <c r="A41" s="12">
        <v>46302.3967671412</v>
      </c>
      <c r="C41" s="14">
        <v>46302.0</v>
      </c>
      <c r="D41" s="13" t="s">
        <v>26</v>
      </c>
      <c r="E41" s="13" t="s">
        <v>72</v>
      </c>
      <c r="F41" s="13" t="s">
        <v>22</v>
      </c>
      <c r="G41" s="13" t="s">
        <v>39</v>
      </c>
      <c r="H41" s="13">
        <v>5.0</v>
      </c>
      <c r="I41" s="13">
        <v>5.0</v>
      </c>
      <c r="J41" s="13">
        <v>5.0</v>
      </c>
      <c r="K41" s="13">
        <v>5.0</v>
      </c>
      <c r="Q41" s="13" t="s">
        <v>77</v>
      </c>
      <c r="R41" s="13" t="s">
        <v>77</v>
      </c>
      <c r="S41" s="13">
        <v>5.0</v>
      </c>
    </row>
    <row r="42" ht="22.5" customHeight="1">
      <c r="A42" s="12">
        <v>46302.39689105324</v>
      </c>
      <c r="C42" s="14">
        <v>46302.0</v>
      </c>
      <c r="D42" s="13" t="s">
        <v>26</v>
      </c>
      <c r="F42" s="13" t="s">
        <v>22</v>
      </c>
      <c r="G42" s="13" t="s">
        <v>39</v>
      </c>
      <c r="H42" s="13">
        <v>5.0</v>
      </c>
      <c r="I42" s="13">
        <v>5.0</v>
      </c>
      <c r="J42" s="13">
        <v>5.0</v>
      </c>
      <c r="K42" s="13">
        <v>5.0</v>
      </c>
      <c r="S42" s="13">
        <v>5.0</v>
      </c>
    </row>
    <row r="43" ht="22.5" customHeight="1">
      <c r="A43" s="12">
        <v>46302.39756793981</v>
      </c>
      <c r="C43" s="14">
        <v>46302.0</v>
      </c>
      <c r="D43" s="13" t="s">
        <v>26</v>
      </c>
      <c r="F43" s="13" t="s">
        <v>25</v>
      </c>
      <c r="G43" s="13" t="s">
        <v>34</v>
      </c>
      <c r="H43" s="13">
        <v>5.0</v>
      </c>
      <c r="I43" s="13">
        <v>3.0</v>
      </c>
      <c r="J43" s="13">
        <v>4.0</v>
      </c>
      <c r="K43" s="13">
        <v>4.0</v>
      </c>
      <c r="S43" s="13">
        <v>4.0</v>
      </c>
    </row>
    <row r="44" ht="22.5" customHeight="1">
      <c r="A44" s="12">
        <v>46302.398657337966</v>
      </c>
      <c r="C44" s="14">
        <v>46302.0</v>
      </c>
      <c r="D44" s="13" t="s">
        <v>26</v>
      </c>
      <c r="F44" s="13" t="s">
        <v>22</v>
      </c>
      <c r="G44" s="13" t="s">
        <v>39</v>
      </c>
      <c r="H44" s="13">
        <v>4.0</v>
      </c>
      <c r="I44" s="13">
        <v>4.0</v>
      </c>
      <c r="J44" s="13">
        <v>4.0</v>
      </c>
      <c r="K44" s="13">
        <v>4.0</v>
      </c>
      <c r="Q44" s="13" t="s">
        <v>73</v>
      </c>
      <c r="R44" s="13" t="s">
        <v>78</v>
      </c>
      <c r="S44" s="13">
        <v>4.0</v>
      </c>
    </row>
    <row r="45" ht="22.5" customHeight="1">
      <c r="A45" s="12">
        <v>46302.40949351852</v>
      </c>
      <c r="C45" s="14">
        <v>46302.0</v>
      </c>
      <c r="D45" s="13" t="s">
        <v>26</v>
      </c>
      <c r="F45" s="13" t="s">
        <v>22</v>
      </c>
      <c r="G45" s="13" t="s">
        <v>39</v>
      </c>
      <c r="H45" s="13">
        <v>4.0</v>
      </c>
      <c r="I45" s="13">
        <v>4.0</v>
      </c>
      <c r="J45" s="13">
        <v>4.0</v>
      </c>
      <c r="K45" s="13">
        <v>4.0</v>
      </c>
      <c r="S45" s="13">
        <v>4.0</v>
      </c>
    </row>
    <row r="46" ht="22.5" customHeight="1">
      <c r="A46" s="12">
        <v>46302.41563340278</v>
      </c>
      <c r="C46" s="14">
        <v>46302.0</v>
      </c>
      <c r="D46" s="13" t="s">
        <v>26</v>
      </c>
      <c r="E46" s="13" t="s">
        <v>72</v>
      </c>
      <c r="F46" s="13" t="s">
        <v>22</v>
      </c>
      <c r="G46" s="13" t="s">
        <v>41</v>
      </c>
      <c r="H46" s="13">
        <v>5.0</v>
      </c>
      <c r="I46" s="13">
        <v>5.0</v>
      </c>
      <c r="J46" s="13">
        <v>5.0</v>
      </c>
      <c r="K46" s="13">
        <v>5.0</v>
      </c>
      <c r="S46" s="13">
        <v>5.0</v>
      </c>
    </row>
    <row r="47" ht="22.5" customHeight="1">
      <c r="A47" s="12">
        <v>46302.42037452546</v>
      </c>
      <c r="C47" s="14">
        <v>46302.0</v>
      </c>
      <c r="D47" s="13" t="s">
        <v>26</v>
      </c>
      <c r="F47" s="13" t="s">
        <v>22</v>
      </c>
      <c r="G47" s="13" t="s">
        <v>45</v>
      </c>
      <c r="H47" s="13">
        <v>5.0</v>
      </c>
      <c r="I47" s="13">
        <v>5.0</v>
      </c>
      <c r="J47" s="13">
        <v>5.0</v>
      </c>
      <c r="K47" s="13">
        <v>4.0</v>
      </c>
      <c r="Q47" s="13" t="s">
        <v>29</v>
      </c>
      <c r="R47" s="13" t="s">
        <v>29</v>
      </c>
      <c r="S47" s="13">
        <v>5.0</v>
      </c>
    </row>
    <row r="48" ht="22.5" customHeight="1">
      <c r="A48" s="12">
        <v>46302.42528282407</v>
      </c>
      <c r="C48" s="14">
        <v>40268.0</v>
      </c>
      <c r="D48" s="13" t="s">
        <v>26</v>
      </c>
      <c r="E48" s="13" t="s">
        <v>79</v>
      </c>
      <c r="F48" s="13" t="s">
        <v>25</v>
      </c>
      <c r="G48" s="13" t="s">
        <v>43</v>
      </c>
      <c r="H48" s="13">
        <v>5.0</v>
      </c>
      <c r="I48" s="13">
        <v>5.0</v>
      </c>
      <c r="J48" s="13">
        <v>5.0</v>
      </c>
      <c r="K48" s="13">
        <v>5.0</v>
      </c>
      <c r="S48" s="13">
        <v>5.0</v>
      </c>
    </row>
    <row r="49" ht="22.5" customHeight="1">
      <c r="A49" s="12">
        <v>46302.435664641205</v>
      </c>
      <c r="C49" s="14">
        <v>40446.0</v>
      </c>
      <c r="D49" s="13" t="s">
        <v>26</v>
      </c>
      <c r="E49" s="13" t="s">
        <v>33</v>
      </c>
      <c r="F49" s="13" t="s">
        <v>22</v>
      </c>
      <c r="G49" s="13" t="s">
        <v>80</v>
      </c>
      <c r="H49" s="13">
        <v>5.0</v>
      </c>
      <c r="I49" s="13">
        <v>4.0</v>
      </c>
      <c r="J49" s="13">
        <v>5.0</v>
      </c>
      <c r="K49" s="13">
        <v>5.0</v>
      </c>
      <c r="Q49" s="13" t="s">
        <v>77</v>
      </c>
      <c r="R49" s="13" t="s">
        <v>77</v>
      </c>
      <c r="S49" s="13">
        <v>4.0</v>
      </c>
    </row>
    <row r="50" ht="22.5" customHeight="1">
      <c r="A50" s="12">
        <v>46302.43883474537</v>
      </c>
      <c r="C50" s="14">
        <v>46302.0</v>
      </c>
      <c r="D50" s="13" t="s">
        <v>26</v>
      </c>
      <c r="F50" s="13" t="s">
        <v>81</v>
      </c>
      <c r="G50" s="13" t="s">
        <v>43</v>
      </c>
      <c r="H50" s="13">
        <v>4.0</v>
      </c>
      <c r="I50" s="13">
        <v>4.0</v>
      </c>
      <c r="J50" s="13">
        <v>4.0</v>
      </c>
      <c r="K50" s="13">
        <v>4.0</v>
      </c>
      <c r="S50" s="13">
        <v>4.0</v>
      </c>
    </row>
    <row r="51" ht="22.5" customHeight="1">
      <c r="A51" s="12">
        <v>46302.44216756945</v>
      </c>
      <c r="C51" s="14">
        <v>46302.0</v>
      </c>
      <c r="D51" s="13" t="s">
        <v>26</v>
      </c>
      <c r="E51" s="13" t="s">
        <v>26</v>
      </c>
      <c r="F51" s="13" t="s">
        <v>22</v>
      </c>
      <c r="G51" s="13" t="s">
        <v>76</v>
      </c>
      <c r="H51" s="13">
        <v>5.0</v>
      </c>
      <c r="I51" s="13">
        <v>5.0</v>
      </c>
      <c r="J51" s="13">
        <v>5.0</v>
      </c>
      <c r="K51" s="13">
        <v>5.0</v>
      </c>
      <c r="Q51" s="13" t="s">
        <v>82</v>
      </c>
      <c r="R51" s="13" t="s">
        <v>82</v>
      </c>
      <c r="S51" s="13">
        <v>5.0</v>
      </c>
    </row>
    <row r="52" ht="22.5" customHeight="1">
      <c r="A52" s="12">
        <v>46302.445386736115</v>
      </c>
      <c r="C52" s="14">
        <v>46302.0</v>
      </c>
      <c r="D52" s="13" t="s">
        <v>26</v>
      </c>
      <c r="E52" s="13" t="s">
        <v>83</v>
      </c>
      <c r="F52" s="13" t="s">
        <v>22</v>
      </c>
      <c r="G52" s="13" t="s">
        <v>39</v>
      </c>
      <c r="H52" s="13">
        <v>5.0</v>
      </c>
      <c r="I52" s="13">
        <v>5.0</v>
      </c>
      <c r="J52" s="13">
        <v>5.0</v>
      </c>
      <c r="K52" s="13">
        <v>5.0</v>
      </c>
      <c r="Q52" s="13" t="s">
        <v>84</v>
      </c>
      <c r="R52" s="13" t="s">
        <v>85</v>
      </c>
      <c r="S52" s="13">
        <v>5.0</v>
      </c>
    </row>
    <row r="53" ht="22.5" customHeight="1">
      <c r="A53" s="12">
        <v>46302.4638912963</v>
      </c>
      <c r="C53" s="14">
        <v>46302.0</v>
      </c>
      <c r="D53" s="13" t="s">
        <v>26</v>
      </c>
      <c r="E53" s="13" t="s">
        <v>65</v>
      </c>
      <c r="F53" s="13" t="s">
        <v>22</v>
      </c>
      <c r="G53" s="13" t="s">
        <v>86</v>
      </c>
      <c r="H53" s="13">
        <v>5.0</v>
      </c>
      <c r="I53" s="13">
        <v>5.0</v>
      </c>
      <c r="J53" s="13">
        <v>5.0</v>
      </c>
      <c r="K53" s="13">
        <v>5.0</v>
      </c>
      <c r="Q53" s="13" t="s">
        <v>87</v>
      </c>
      <c r="S53" s="13">
        <v>5.0</v>
      </c>
    </row>
    <row r="54" ht="22.5" customHeight="1">
      <c r="A54" s="12">
        <v>46302.46601510417</v>
      </c>
      <c r="C54" s="14">
        <v>46302.0</v>
      </c>
      <c r="D54" s="13" t="s">
        <v>26</v>
      </c>
      <c r="F54" s="13" t="s">
        <v>22</v>
      </c>
      <c r="G54" s="13" t="s">
        <v>43</v>
      </c>
      <c r="H54" s="13">
        <v>4.0</v>
      </c>
      <c r="I54" s="13">
        <v>4.0</v>
      </c>
      <c r="J54" s="13">
        <v>4.0</v>
      </c>
      <c r="K54" s="13">
        <v>4.0</v>
      </c>
      <c r="S54" s="13">
        <v>4.0</v>
      </c>
    </row>
    <row r="55" ht="22.5" customHeight="1">
      <c r="A55" s="12">
        <v>46302.466164224534</v>
      </c>
      <c r="C55" s="14">
        <v>46302.0</v>
      </c>
      <c r="D55" s="13" t="s">
        <v>26</v>
      </c>
      <c r="F55" s="13" t="s">
        <v>22</v>
      </c>
      <c r="G55" s="13" t="s">
        <v>43</v>
      </c>
      <c r="H55" s="13">
        <v>5.0</v>
      </c>
      <c r="I55" s="13">
        <v>5.0</v>
      </c>
      <c r="J55" s="13">
        <v>5.0</v>
      </c>
      <c r="K55" s="13">
        <v>5.0</v>
      </c>
      <c r="S55" s="13">
        <v>5.0</v>
      </c>
    </row>
    <row r="56" ht="22.5" customHeight="1">
      <c r="A56" s="12">
        <v>46302.46672063657</v>
      </c>
      <c r="C56" s="14">
        <v>46302.0</v>
      </c>
      <c r="D56" s="13" t="s">
        <v>26</v>
      </c>
      <c r="F56" s="13" t="s">
        <v>22</v>
      </c>
      <c r="G56" s="13" t="s">
        <v>43</v>
      </c>
      <c r="H56" s="13">
        <v>5.0</v>
      </c>
      <c r="I56" s="13">
        <v>5.0</v>
      </c>
      <c r="J56" s="13">
        <v>5.0</v>
      </c>
      <c r="K56" s="13">
        <v>5.0</v>
      </c>
      <c r="S56" s="13">
        <v>5.0</v>
      </c>
    </row>
    <row r="57" ht="22.5" customHeight="1">
      <c r="A57" s="12">
        <v>46302.49015842592</v>
      </c>
      <c r="C57" s="14">
        <v>46302.0</v>
      </c>
      <c r="D57" s="13" t="s">
        <v>26</v>
      </c>
      <c r="E57" s="13" t="s">
        <v>72</v>
      </c>
      <c r="F57" s="13" t="s">
        <v>22</v>
      </c>
      <c r="G57" s="13" t="s">
        <v>39</v>
      </c>
      <c r="H57" s="13">
        <v>5.0</v>
      </c>
      <c r="I57" s="13">
        <v>5.0</v>
      </c>
      <c r="J57" s="13">
        <v>5.0</v>
      </c>
      <c r="K57" s="13">
        <v>5.0</v>
      </c>
      <c r="S57" s="13">
        <v>5.0</v>
      </c>
    </row>
    <row r="58" ht="22.5" customHeight="1">
      <c r="A58" s="12">
        <v>46303.91321009259</v>
      </c>
      <c r="C58" s="14">
        <v>46303.0</v>
      </c>
      <c r="D58" s="13" t="s">
        <v>26</v>
      </c>
      <c r="F58" s="13" t="s">
        <v>22</v>
      </c>
      <c r="G58" s="13" t="s">
        <v>39</v>
      </c>
      <c r="H58" s="13">
        <v>5.0</v>
      </c>
      <c r="I58" s="13">
        <v>5.0</v>
      </c>
      <c r="J58" s="13">
        <v>5.0</v>
      </c>
      <c r="K58" s="13">
        <v>5.0</v>
      </c>
      <c r="S58" s="13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IFERROR(__xludf.DUMMYFUNCTION("FILTER({'Form Responses 1'!A2:A68, 'Form Responses 1'!Q2:Q68, 'Form Responses 1'!R2:R68}, ('Form Responses 1'!Q2:Q68 &lt;&gt; """") + ('Form Responses 1'!R2:R68 &lt;&gt; """"))"),45978.374041840274)</f>
        <v>45978.37404</v>
      </c>
      <c r="B1" s="2" t="str">
        <f>IFERROR(__xludf.DUMMYFUNCTION("""COMPUTED_VALUE"""),"Good")</f>
        <v>Good</v>
      </c>
      <c r="C1" s="2" t="str">
        <f>IFERROR(__xludf.DUMMYFUNCTION("""COMPUTED_VALUE"""),"None")</f>
        <v>None</v>
      </c>
    </row>
    <row r="2">
      <c r="A2" s="3">
        <f>IFERROR(__xludf.DUMMYFUNCTION("""COMPUTED_VALUE"""),45982.1432908912)</f>
        <v>45982.14329</v>
      </c>
      <c r="B2" s="2" t="str">
        <f>IFERROR(__xludf.DUMMYFUNCTION("""COMPUTED_VALUE"""),"Thank you for accommodating us. ")</f>
        <v>Thank you for accommodating us. </v>
      </c>
      <c r="C2" s="2"/>
    </row>
    <row r="3">
      <c r="A3" s="3">
        <f>IFERROR(__xludf.DUMMYFUNCTION("""COMPUTED_VALUE"""),45989.67802741898)</f>
        <v>45989.67803</v>
      </c>
      <c r="B3" s="2" t="str">
        <f>IFERROR(__xludf.DUMMYFUNCTION("""COMPUTED_VALUE"""),"With excellent service.")</f>
        <v>With excellent service.</v>
      </c>
      <c r="C3" s="2"/>
    </row>
    <row r="4">
      <c r="A4" s="3">
        <f>IFERROR(__xludf.DUMMYFUNCTION("""COMPUTED_VALUE"""),45994.38861253472)</f>
        <v>45994.38861</v>
      </c>
      <c r="B4" s="2" t="str">
        <f>IFERROR(__xludf.DUMMYFUNCTION("""COMPUTED_VALUE"""),"Very accommodating ")</f>
        <v>Very accommodating </v>
      </c>
      <c r="C4" s="2" t="str">
        <f>IFERROR(__xludf.DUMMYFUNCTION("""COMPUTED_VALUE"""),"None")</f>
        <v>None</v>
      </c>
    </row>
    <row r="5">
      <c r="A5" s="3">
        <f>IFERROR(__xludf.DUMMYFUNCTION("""COMPUTED_VALUE"""),46073.476405)</f>
        <v>46073.47641</v>
      </c>
      <c r="B5" s="2" t="str">
        <f>IFERROR(__xludf.DUMMYFUNCTION("""COMPUTED_VALUE"""),"None")</f>
        <v>None</v>
      </c>
      <c r="C5" s="2" t="str">
        <f>IFERROR(__xludf.DUMMYFUNCTION("""COMPUTED_VALUE"""),"None")</f>
        <v>None</v>
      </c>
    </row>
    <row r="6">
      <c r="A6" s="3">
        <f>IFERROR(__xludf.DUMMYFUNCTION("""COMPUTED_VALUE"""),46302.371886168985)</f>
        <v>46302.37189</v>
      </c>
      <c r="B6" s="2" t="str">
        <f>IFERROR(__xludf.DUMMYFUNCTION("""COMPUTED_VALUE"""),"Saks lang")</f>
        <v>Saks lang</v>
      </c>
      <c r="C6" s="2" t="str">
        <f>IFERROR(__xludf.DUMMYFUNCTION("""COMPUTED_VALUE"""),"Nice one")</f>
        <v>Nice one</v>
      </c>
    </row>
    <row r="7">
      <c r="A7" s="3">
        <f>IFERROR(__xludf.DUMMYFUNCTION("""COMPUTED_VALUE"""),46302.37695092593)</f>
        <v>46302.37695</v>
      </c>
      <c r="B7" s="2" t="str">
        <f>IFERROR(__xludf.DUMMYFUNCTION("""COMPUTED_VALUE"""),"When it comes to suspension of classes")</f>
        <v>When it comes to suspension of classes</v>
      </c>
      <c r="C7" s="2"/>
    </row>
    <row r="8">
      <c r="A8" s="3">
        <f>IFERROR(__xludf.DUMMYFUNCTION("""COMPUTED_VALUE"""),46302.37759982639)</f>
        <v>46302.3776</v>
      </c>
      <c r="B8" s="2" t="str">
        <f>IFERROR(__xludf.DUMMYFUNCTION("""COMPUTED_VALUE"""),"Mass Media and Promotions Office can improve by making their announcements more consistent, clear and timely so students will be updated about school activities and events")</f>
        <v>Mass Media and Promotions Office can improve by making their announcements more consistent, clear and timely so students will be updated about school activities and events</v>
      </c>
      <c r="C8" s="2"/>
    </row>
    <row r="9">
      <c r="A9" s="3">
        <f>IFERROR(__xludf.DUMMYFUNCTION("""COMPUTED_VALUE"""),46302.3784831713)</f>
        <v>46302.37848</v>
      </c>
      <c r="B9" s="2" t="str">
        <f>IFERROR(__xludf.DUMMYFUNCTION("""COMPUTED_VALUE"""),"The daily services are already accessible, clear, and well-organized. Perhaps, maintaining the same level of responsiveness while continuing to improve the speed and efficiency of service would be helpful.")</f>
        <v>The daily services are already accessible, clear, and well-organized. Perhaps, maintaining the same level of responsiveness while continuing to improve the speed and efficiency of service would be helpful.</v>
      </c>
      <c r="C9" s="2" t="str">
        <f>IFERROR(__xludf.DUMMYFUNCTION("""COMPUTED_VALUE"""),"I appreciate the department’s effort to provide accessible, clear, and efficient services. Thank you for being responsive to the needs and concerns of students. I hope you continue providing the same quality of service.")</f>
        <v>I appreciate the department’s effort to provide accessible, clear, and efficient services. Thank you for being responsive to the needs and concerns of students. I hope you continue providing the same quality of service.</v>
      </c>
    </row>
    <row r="10">
      <c r="A10" s="3">
        <f>IFERROR(__xludf.DUMMYFUNCTION("""COMPUTED_VALUE"""),46302.38031606481)</f>
        <v>46302.38032</v>
      </c>
      <c r="B10" s="2" t="str">
        <f>IFERROR(__xludf.DUMMYFUNCTION("""COMPUTED_VALUE"""),"Posting of scheduled suspensions")</f>
        <v>Posting of scheduled suspensions</v>
      </c>
      <c r="C10" s="2" t="str">
        <f>IFERROR(__xludf.DUMMYFUNCTION("""COMPUTED_VALUE"""),"Service is good and transactions are transparent ")</f>
        <v>Service is good and transactions are transparent </v>
      </c>
    </row>
    <row r="11">
      <c r="A11" s="3">
        <f>IFERROR(__xludf.DUMMYFUNCTION("""COMPUTED_VALUE"""),46302.38259739583)</f>
        <v>46302.3826</v>
      </c>
      <c r="B11" s="2" t="str">
        <f>IFERROR(__xludf.DUMMYFUNCTION("""COMPUTED_VALUE"""),"nothing, everything is good ")</f>
        <v>nothing, everything is good </v>
      </c>
      <c r="C11" s="2" t="str">
        <f>IFERROR(__xludf.DUMMYFUNCTION("""COMPUTED_VALUE"""),"N/A")</f>
        <v>N/A</v>
      </c>
    </row>
    <row r="12">
      <c r="A12" s="3">
        <f>IFERROR(__xludf.DUMMYFUNCTION("""COMPUTED_VALUE"""),46302.383491712964)</f>
        <v>46302.38349</v>
      </c>
      <c r="B12" s="2" t="str">
        <f>IFERROR(__xludf.DUMMYFUNCTION("""COMPUTED_VALUE"""),"nothing keep up the great work")</f>
        <v>nothing keep up the great work</v>
      </c>
      <c r="C12" s="2" t="str">
        <f>IFERROR(__xludf.DUMMYFUNCTION("""COMPUTED_VALUE"""),"please include working students on our off days HAHAHAHA we dont actually disappear when classes are out huhuh")</f>
        <v>please include working students on our off days HAHAHAHA we dont actually disappear when classes are out huhuh</v>
      </c>
    </row>
    <row r="13">
      <c r="A13" s="3">
        <f>IFERROR(__xludf.DUMMYFUNCTION("""COMPUTED_VALUE"""),46302.38358966435)</f>
        <v>46302.38359</v>
      </c>
      <c r="B13" s="2" t="str">
        <f>IFERROR(__xludf.DUMMYFUNCTION("""COMPUTED_VALUE"""),"none ")</f>
        <v>none </v>
      </c>
      <c r="C13" s="2" t="str">
        <f>IFERROR(__xludf.DUMMYFUNCTION("""COMPUTED_VALUE"""),"overall good job")</f>
        <v>overall good job</v>
      </c>
    </row>
    <row r="14">
      <c r="A14" s="3">
        <f>IFERROR(__xludf.DUMMYFUNCTION("""COMPUTED_VALUE"""),46302.38478087963)</f>
        <v>46302.38478</v>
      </c>
      <c r="B14" s="2" t="str">
        <f>IFERROR(__xludf.DUMMYFUNCTION("""COMPUTED_VALUE"""),"Yes")</f>
        <v>Yes</v>
      </c>
      <c r="C14" s="2" t="str">
        <f>IFERROR(__xludf.DUMMYFUNCTION("""COMPUTED_VALUE"""),".")</f>
        <v>.</v>
      </c>
    </row>
    <row r="15">
      <c r="A15" s="3">
        <f>IFERROR(__xludf.DUMMYFUNCTION("""COMPUTED_VALUE"""),46302.39667326389)</f>
        <v>46302.39667</v>
      </c>
      <c r="B15" s="2" t="str">
        <f>IFERROR(__xludf.DUMMYFUNCTION("""COMPUTED_VALUE"""),"None")</f>
        <v>None</v>
      </c>
      <c r="C15" s="2" t="str">
        <f>IFERROR(__xludf.DUMMYFUNCTION("""COMPUTED_VALUE"""),"None")</f>
        <v>None</v>
      </c>
    </row>
    <row r="16">
      <c r="A16" s="3">
        <f>IFERROR(__xludf.DUMMYFUNCTION("""COMPUTED_VALUE"""),46302.3967671412)</f>
        <v>46302.39677</v>
      </c>
      <c r="B16" s="2" t="str">
        <f>IFERROR(__xludf.DUMMYFUNCTION("""COMPUTED_VALUE"""),"none")</f>
        <v>none</v>
      </c>
      <c r="C16" s="2" t="str">
        <f>IFERROR(__xludf.DUMMYFUNCTION("""COMPUTED_VALUE"""),"none")</f>
        <v>none</v>
      </c>
    </row>
    <row r="17">
      <c r="A17" s="3">
        <f>IFERROR(__xludf.DUMMYFUNCTION("""COMPUTED_VALUE"""),46302.398657337966)</f>
        <v>46302.39866</v>
      </c>
      <c r="B17" s="2" t="str">
        <f>IFERROR(__xludf.DUMMYFUNCTION("""COMPUTED_VALUE"""),"Yes")</f>
        <v>Yes</v>
      </c>
      <c r="C17" s="2" t="str">
        <f>IFERROR(__xludf.DUMMYFUNCTION("""COMPUTED_VALUE"""),"None ")</f>
        <v>None </v>
      </c>
    </row>
    <row r="18">
      <c r="A18" s="3">
        <f>IFERROR(__xludf.DUMMYFUNCTION("""COMPUTED_VALUE"""),46302.42037452546)</f>
        <v>46302.42037</v>
      </c>
      <c r="B18" s="2" t="str">
        <f>IFERROR(__xludf.DUMMYFUNCTION("""COMPUTED_VALUE"""),"None")</f>
        <v>None</v>
      </c>
      <c r="C18" s="2" t="str">
        <f>IFERROR(__xludf.DUMMYFUNCTION("""COMPUTED_VALUE"""),"None")</f>
        <v>None</v>
      </c>
    </row>
    <row r="19">
      <c r="A19" s="3">
        <f>IFERROR(__xludf.DUMMYFUNCTION("""COMPUTED_VALUE"""),46302.435664641205)</f>
        <v>46302.43566</v>
      </c>
      <c r="B19" s="2" t="str">
        <f>IFERROR(__xludf.DUMMYFUNCTION("""COMPUTED_VALUE"""),"none")</f>
        <v>none</v>
      </c>
      <c r="C19" s="2" t="str">
        <f>IFERROR(__xludf.DUMMYFUNCTION("""COMPUTED_VALUE"""),"none")</f>
        <v>none</v>
      </c>
    </row>
    <row r="20">
      <c r="A20" s="3">
        <f>IFERROR(__xludf.DUMMYFUNCTION("""COMPUTED_VALUE"""),46302.44216756945)</f>
        <v>46302.44217</v>
      </c>
      <c r="B20" s="2" t="str">
        <f>IFERROR(__xludf.DUMMYFUNCTION("""COMPUTED_VALUE""")," ")</f>
        <v> </v>
      </c>
      <c r="C20" s="2" t="str">
        <f>IFERROR(__xludf.DUMMYFUNCTION("""COMPUTED_VALUE""")," ")</f>
        <v> </v>
      </c>
    </row>
    <row r="21">
      <c r="A21" s="3">
        <f>IFERROR(__xludf.DUMMYFUNCTION("""COMPUTED_VALUE"""),46302.445386736115)</f>
        <v>46302.44539</v>
      </c>
      <c r="B21" s="2" t="str">
        <f>IFERROR(__xludf.DUMMYFUNCTION("""COMPUTED_VALUE"""),"there is nothing I can say about your work guys. Because I didn't understand how you do it. But in my own observation, Job well done. ")</f>
        <v>there is nothing I can say about your work guys. Because I didn't understand how you do it. But in my own observation, Job well done. </v>
      </c>
      <c r="C21" s="2" t="str">
        <f>IFERROR(__xludf.DUMMYFUNCTION("""COMPUTED_VALUE"""),"None. ")</f>
        <v>None. </v>
      </c>
    </row>
    <row r="22">
      <c r="A22" s="3">
        <f>IFERROR(__xludf.DUMMYFUNCTION("""COMPUTED_VALUE"""),46302.4638912963)</f>
        <v>46302.46389</v>
      </c>
      <c r="B22" s="2" t="str">
        <f>IFERROR(__xludf.DUMMYFUNCTION("""COMPUTED_VALUE"""),"Tine management and Skills by practicing")</f>
        <v>Tine management and Skills by practicing</v>
      </c>
      <c r="C22" s="2"/>
    </row>
  </sheetData>
  <drawing r:id="rId1"/>
</worksheet>
</file>