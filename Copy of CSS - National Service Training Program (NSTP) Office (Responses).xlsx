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<sst xmlns="http://schemas.openxmlformats.org/spreadsheetml/2006/main" count="2627" uniqueCount="674">
  <si>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</si>
  <si>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</si>
  <si>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10-8-26</t>
  </si>
  <si>
    <t>Column 3</t>
  </si>
  <si>
    <t>Unit/Affiliation</t>
  </si>
  <si>
    <t>Sex [Row 1]</t>
  </si>
  <si>
    <t>Services Availed: National Service Training Program (NSTP) Office</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</si>
  <si>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</si>
  <si>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</si>
  <si>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</si>
  <si>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</si>
  <si>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 xml:space="preserve">
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</si>
  <si>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</si>
  <si>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</si>
  <si>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</si>
  <si>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</si>
  <si>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What can you comment about the the services provided by the office? 
Good
Teachers and staff are accommodating.</t>
  </si>
  <si>
    <t xml:space="preserve">What are your suggestions to improve customer experience with this office? 
Make good communication 
</t>
  </si>
  <si>
    <t>Column 18</t>
  </si>
  <si>
    <t>Score</t>
  </si>
  <si>
    <t>Column 20</t>
  </si>
  <si>
    <t>Email Address</t>
  </si>
  <si>
    <t>I AGREE</t>
  </si>
  <si>
    <t>Faculty/Staff</t>
  </si>
  <si>
    <t>NSTP</t>
  </si>
  <si>
    <t>Male</t>
  </si>
  <si>
    <t>Request for NSTP Serial Number</t>
  </si>
  <si>
    <t xml:space="preserve">Maintain the good service. </t>
  </si>
  <si>
    <t xml:space="preserve">Provide the best services. </t>
  </si>
  <si>
    <t>Student</t>
  </si>
  <si>
    <t>Female</t>
  </si>
  <si>
    <t>BS HRM</t>
  </si>
  <si>
    <t>Na</t>
  </si>
  <si>
    <t>Alumni</t>
  </si>
  <si>
    <t>Cashier</t>
  </si>
  <si>
    <t>Guest</t>
  </si>
  <si>
    <t>BSN 4 Sacri</t>
  </si>
  <si>
    <t>nothing</t>
  </si>
  <si>
    <t>none</t>
  </si>
  <si>
    <t xml:space="preserve">Bachelor Of Science in Information technology </t>
  </si>
  <si>
    <t>SURVEY</t>
  </si>
  <si>
    <t>N/A</t>
  </si>
  <si>
    <t>Enrollment for NSTP</t>
  </si>
  <si>
    <t>Request for Grades (Tentative/Final Grades)</t>
  </si>
  <si>
    <t>Good</t>
  </si>
  <si>
    <t>Be paitient</t>
  </si>
  <si>
    <t>BSIT</t>
  </si>
  <si>
    <t>nuetral</t>
  </si>
  <si>
    <t>more paitient</t>
  </si>
  <si>
    <t xml:space="preserve">Bachelor of Science Information Technology </t>
  </si>
  <si>
    <t xml:space="preserve">Welcome </t>
  </si>
  <si>
    <t xml:space="preserve">The NSTP Office provides organized and helpful services to students. They assist in processing important documents such as NSTP serial numbers and grade requests. The staff are generally approachable and willing to answer questions regarding NSTP requirements and concerns. Their services help students complete academic and graduation requirements smoothly.
</t>
  </si>
  <si>
    <t>Provide faster processing time for requests.</t>
  </si>
  <si>
    <t xml:space="preserve">Bachelor of Science in Information Technology </t>
  </si>
  <si>
    <t>Survey</t>
  </si>
  <si>
    <t>It was fast</t>
  </si>
  <si>
    <t xml:space="preserve">NSTP </t>
  </si>
  <si>
    <t xml:space="preserve">Request for NSTP Serial Number, Request for Grades (Tentative/Final Grades), </t>
  </si>
  <si>
    <t>Bshm-CSO-1C</t>
  </si>
  <si>
    <t>The services provided by the office are organized and helpful. The staff are approachable and assist students well</t>
  </si>
  <si>
    <t>They could improve customer experience by reducing waiting time. Providing clearer instructions or information would also help clients.</t>
  </si>
  <si>
    <t>Nstp</t>
  </si>
  <si>
    <t xml:space="preserve">Request for Grades (Tentative/Final Grades), </t>
  </si>
  <si>
    <t>CWST, RCY- NSTP</t>
  </si>
  <si>
    <t>Nothing, they are quite good and very efficient ^^!</t>
  </si>
  <si>
    <t>They’re good!!</t>
  </si>
  <si>
    <t>Nothing</t>
  </si>
  <si>
    <t>NSTP-CWTS</t>
  </si>
  <si>
    <t>Prefer not to say</t>
  </si>
  <si>
    <t>Request for NSTP Serial Number, Request for Grades (Tentative/Final Grades)</t>
  </si>
  <si>
    <t>It was good</t>
  </si>
  <si>
    <t>None</t>
  </si>
  <si>
    <t xml:space="preserve"> </t>
  </si>
  <si>
    <t>The staff is friendly and quick.</t>
  </si>
  <si>
    <t>NONE</t>
  </si>
  <si>
    <t>Nice</t>
  </si>
  <si>
    <t xml:space="preserve">none
</t>
  </si>
  <si>
    <t xml:space="preserve">Please inform your student at a time for their classes </t>
  </si>
  <si>
    <t xml:space="preserve">Create a new window to easy transac information, because it's hard to find the door or window before you transac, their is no proper place where they can transac </t>
  </si>
  <si>
    <t>good</t>
  </si>
  <si>
    <t>none, all goods</t>
  </si>
  <si>
    <t xml:space="preserve">Excellent service </t>
  </si>
  <si>
    <t xml:space="preserve">First year </t>
  </si>
  <si>
    <t xml:space="preserve">Its good </t>
  </si>
  <si>
    <t xml:space="preserve">Stuff </t>
  </si>
  <si>
    <t>CCS</t>
  </si>
  <si>
    <t>Fcu</t>
  </si>
  <si>
    <t>1st year BSIT D</t>
  </si>
  <si>
    <t>FCU</t>
  </si>
  <si>
    <t>fcu</t>
  </si>
  <si>
    <t>Parent/Guardian</t>
  </si>
  <si>
    <t xml:space="preserve">Very prompt and accommodating </t>
  </si>
  <si>
    <t>Keep up the good work</t>
  </si>
  <si>
    <t>The transaction was fast</t>
  </si>
  <si>
    <t xml:space="preserve">Bachelor of Science in Information technology </t>
  </si>
  <si>
    <t xml:space="preserve">Please Limit the attitude when someone is inquiring about any projects or questions regarding in the schedule </t>
  </si>
  <si>
    <t xml:space="preserve">Easy and fast </t>
  </si>
  <si>
    <t xml:space="preserve">Nothing </t>
  </si>
  <si>
    <t>CAS 1-A, SOCIAL WORK</t>
  </si>
  <si>
    <t>4/30/0026</t>
  </si>
  <si>
    <t>CAS</t>
  </si>
  <si>
    <t>Good and they make sure that every student is safe</t>
  </si>
  <si>
    <t xml:space="preserve">For NSTP activities outside the school, we need to have a private transportation so that the students can access through every activity </t>
  </si>
  <si>
    <t>N|A</t>
  </si>
  <si>
    <t>CWTS</t>
  </si>
  <si>
    <t xml:space="preserve">Improve clear and complete announcements </t>
  </si>
  <si>
    <t xml:space="preserve">Inquiries and instructions </t>
  </si>
  <si>
    <t xml:space="preserve">BSBA 1-MM </t>
  </si>
  <si>
    <t>CAS- PSYCHOLOGY 1B</t>
  </si>
  <si>
    <t>Inquiries&amp;Instructioms</t>
  </si>
  <si>
    <t>Fair</t>
  </si>
  <si>
    <t>Clear Instructions</t>
  </si>
  <si>
    <t>inquiries</t>
  </si>
  <si>
    <t xml:space="preserve">Professionally done. </t>
  </si>
  <si>
    <t xml:space="preserve">Be transparent with the office hours. </t>
  </si>
  <si>
    <t xml:space="preserve">Inquiries </t>
  </si>
  <si>
    <t xml:space="preserve">Professionally managed. </t>
  </si>
  <si>
    <t>NSTP (National Service Training Program) - CWTS (Civic Welfare Training Service)</t>
  </si>
  <si>
    <t xml:space="preserve">Maybe accomodate students more nicely and openly since some of my classmates were not treated as how they expected the office would approach them with their concern. </t>
  </si>
  <si>
    <t>CBA</t>
  </si>
  <si>
    <t xml:space="preserve">None </t>
  </si>
  <si>
    <t>Cba</t>
  </si>
  <si>
    <t>Bstm 1C</t>
  </si>
  <si>
    <t>No</t>
  </si>
  <si>
    <t>Kinakaya Ang bes</t>
  </si>
  <si>
    <t>BSBA FM 1</t>
  </si>
  <si>
    <t xml:space="preserve">it was really good they give students  a good and quality services </t>
  </si>
  <si>
    <t xml:space="preserve">maybe nothing </t>
  </si>
  <si>
    <t>CBA BSBA FM 1</t>
  </si>
  <si>
    <t xml:space="preserve">they provide student a good and quality services </t>
  </si>
  <si>
    <t>BSIT-1C</t>
  </si>
  <si>
    <t xml:space="preserve">BSIT-1C COLLEGE OF COMPUTER STUDIES </t>
  </si>
  <si>
    <t>Excellent</t>
  </si>
  <si>
    <t>It's all great service.</t>
  </si>
  <si>
    <t>Coe</t>
  </si>
  <si>
    <t>N</t>
  </si>
  <si>
    <t>COE</t>
  </si>
  <si>
    <t>Chtm</t>
  </si>
  <si>
    <t>Nice and the staffs are kind.</t>
  </si>
  <si>
    <t>The costumers must be patient and understanding.</t>
  </si>
  <si>
    <t>BSIT 1C</t>
  </si>
  <si>
    <t>I was greeted with a warm, welcoming attitude that made me feel comfortable and valued.</t>
  </si>
  <si>
    <t>Understanding,compassion, active listening.</t>
  </si>
  <si>
    <t>CHTM</t>
  </si>
  <si>
    <t xml:space="preserve">Nice and excellent </t>
  </si>
  <si>
    <t>Must be improve in more staffs to assist and entertain the costumers..</t>
  </si>
  <si>
    <t>4/29/0026</t>
  </si>
  <si>
    <t xml:space="preserve">none </t>
  </si>
  <si>
    <t xml:space="preserve">NSTP-CWTS </t>
  </si>
  <si>
    <t>survey</t>
  </si>
  <si>
    <t>.</t>
  </si>
  <si>
    <t xml:space="preserve">good services </t>
  </si>
  <si>
    <t>NSTP/CWTS Student</t>
  </si>
  <si>
    <t>It's good</t>
  </si>
  <si>
    <t>Make the authorized personnel on the office more available so that we can transact more efficiently.</t>
  </si>
  <si>
    <t>there service is quality and good experiences</t>
  </si>
  <si>
    <t xml:space="preserve">nothing </t>
  </si>
  <si>
    <t>BSTM 1-D</t>
  </si>
  <si>
    <t>the service provided by the office were efficient and well organized. the staff were approachable, helpful, and responsive to my concerns, making that transaction smoot and hassle -free.</t>
  </si>
  <si>
    <t>to further improve , the office may consider reducing waiting time, providing clearer instruction or guidelines , and maintaining consistent communication with clients. overall the service is already commendable.</t>
  </si>
  <si>
    <t>College of Computer Studies (BSIT Program)</t>
  </si>
  <si>
    <t xml:space="preserve">Excellent </t>
  </si>
  <si>
    <t>The office provides organized and efficient services. The staff are approachable, responsive, and willing to assist clients with their concerns. Transactions are generally handled in a timely manner, and the procedures are clear and easy to follow. Overall, the service is satisfactory and meets the needs of the clients.</t>
  </si>
  <si>
    <t>To further improve students experience, the office can reduce waiting time by streamlining processes and adding more staff during peak hours. Providing clearer instructions and visible signages can help guide clients better. Additionally, improving communication through online platforms or updates can make services more accessible and convenient. Enhancing facilities such as seating and ventilation would also make clients more comfortable.</t>
  </si>
  <si>
    <t>BSTM/CHTM</t>
  </si>
  <si>
    <t xml:space="preserve">Nstp students </t>
  </si>
  <si>
    <t xml:space="preserve">It's convenient </t>
  </si>
  <si>
    <t xml:space="preserve">Nothing I know people in there did there best to satisfy people who needed them </t>
  </si>
  <si>
    <t xml:space="preserve">CWTS CLEAN UP DRIVE </t>
  </si>
  <si>
    <t xml:space="preserve">Filamer Christian University </t>
  </si>
  <si>
    <t xml:space="preserve">Survey </t>
  </si>
  <si>
    <t xml:space="preserve">Absolutely doing the good work for guiding us for passing our requirements and works and updates for us students </t>
  </si>
  <si>
    <t xml:space="preserve">Nothing to say more </t>
  </si>
  <si>
    <t>BSTM 1D</t>
  </si>
  <si>
    <t xml:space="preserve">Good </t>
  </si>
  <si>
    <t xml:space="preserve">No suggestions </t>
  </si>
  <si>
    <t>CN</t>
  </si>
  <si>
    <t>Submission of Letter.</t>
  </si>
  <si>
    <t xml:space="preserve">None
</t>
  </si>
  <si>
    <t>n/a</t>
  </si>
  <si>
    <t>The services are efficient and the staff are friendly and helpful.</t>
  </si>
  <si>
    <t>Continue providing good service and maintain the organized system.</t>
  </si>
  <si>
    <t>The services provided by the office are organized, efficient, and helpful. The staff are approachable and willing to assist students with their concerns.</t>
  </si>
  <si>
    <t xml:space="preserve">the office can reduce waiting time by improving scheduling or adding more staff during busy hours. Providing clearer instructions and online services would also help students process their requests faster. </t>
  </si>
  <si>
    <t>BSA</t>
  </si>
  <si>
    <t xml:space="preserve">Request for NSTP Serial Number, </t>
  </si>
  <si>
    <t>student</t>
  </si>
  <si>
    <t>RCY</t>
  </si>
  <si>
    <t>It’s good and fairly treated others</t>
  </si>
  <si>
    <t>Response as soon as possible dont make the students wait outside thankyou</t>
  </si>
  <si>
    <t xml:space="preserve">good and efficient </t>
  </si>
  <si>
    <t>4/1/0026</t>
  </si>
  <si>
    <t>Bstm</t>
  </si>
  <si>
    <t>BSBA-1 MM</t>
  </si>
  <si>
    <t>very good</t>
  </si>
  <si>
    <t>paitience</t>
  </si>
  <si>
    <t>Nursing</t>
  </si>
  <si>
    <t>BSN</t>
  </si>
  <si>
    <t>Very compassionate and communicable to the students.</t>
  </si>
  <si>
    <t>More participation of organization outside community.</t>
  </si>
  <si>
    <t>BS-Biology - 1st year</t>
  </si>
  <si>
    <t>The services provided by the office are efficient and well-organized. The staff are approachable, respectful, and willing to assist clients with their concerns. Transactions are handled smoothly, making the process convenient and less time-consuming. Overall, the office delivers satisfactory service that meets client needs.</t>
  </si>
  <si>
    <t>To improve customer experience, the office may provide clearer instructions or signage and this can help clients understand procedures more easily and Increasing staff availability These improvements can further enhance efficiency and client satisfaction.</t>
  </si>
  <si>
    <t>BSIT-1B</t>
  </si>
  <si>
    <t xml:space="preserve">Mangrove Planting Activity </t>
  </si>
  <si>
    <t xml:space="preserve">Cba </t>
  </si>
  <si>
    <t>N/a</t>
  </si>
  <si>
    <t>NSTP CWTS</t>
  </si>
  <si>
    <t xml:space="preserve">   </t>
  </si>
  <si>
    <t xml:space="preserve">  </t>
  </si>
  <si>
    <t>goods</t>
  </si>
  <si>
    <t>BSECE 1</t>
  </si>
  <si>
    <t xml:space="preserve">College of Nursing </t>
  </si>
  <si>
    <t>Very flabbergasted about how unprofessional and unwelcoming your staff seems to be in teaching and accommodating.</t>
  </si>
  <si>
    <t>Be the opposite.</t>
  </si>
  <si>
    <t>CBA-BSA</t>
  </si>
  <si>
    <t xml:space="preserve">Inquiries and instruction </t>
  </si>
  <si>
    <t xml:space="preserve">Good. However, there are time that delayed and mga urgent messages or announcement </t>
  </si>
  <si>
    <t>Always communicate in advance or if not possible days or few hours before a change plan or action.</t>
  </si>
  <si>
    <t>BSTM 1</t>
  </si>
  <si>
    <t>BSTM 1-B</t>
  </si>
  <si>
    <t xml:space="preserve">the accomodation </t>
  </si>
  <si>
    <t xml:space="preserve">make sure that you have a good service to customer </t>
  </si>
  <si>
    <t>5/3/0026</t>
  </si>
  <si>
    <t>NA</t>
  </si>
  <si>
    <t xml:space="preserve">BSTM </t>
  </si>
  <si>
    <t xml:space="preserve">excellent </t>
  </si>
  <si>
    <t>For nstp</t>
  </si>
  <si>
    <t>4.	Client Satisfaction Survey for National Service Training Program (NSTP) Office</t>
  </si>
  <si>
    <t xml:space="preserve">It's nice </t>
  </si>
  <si>
    <t>NSTP - CWTS</t>
  </si>
  <si>
    <t>Client Satisfaction Survey for National Service Training Program (NSTP) Office</t>
  </si>
  <si>
    <t>Conducting Community Service is fun</t>
  </si>
  <si>
    <t>11/2/0007</t>
  </si>
  <si>
    <t xml:space="preserve">Request for NSTP Serial Number, Request for Grades (Tentative/Final Grades), Survey participation </t>
  </si>
  <si>
    <t xml:space="preserve">Nothing much to say </t>
  </si>
  <si>
    <t xml:space="preserve">Nothing at all just do at theyre best to serve and guide our fellow department students </t>
  </si>
  <si>
    <t>i dont know</t>
  </si>
  <si>
    <t xml:space="preserve">Participation </t>
  </si>
  <si>
    <t xml:space="preserve">Very convenient and reliable </t>
  </si>
  <si>
    <t>CTE</t>
  </si>
  <si>
    <t>submit files</t>
  </si>
  <si>
    <t>cte</t>
  </si>
  <si>
    <t xml:space="preserve">report </t>
  </si>
  <si>
    <t xml:space="preserve">my comment is somehow there's a unfair treatment bcs the staff is attitude but beautiful </t>
  </si>
  <si>
    <t xml:space="preserve">CHTM DEPARTMENT </t>
  </si>
  <si>
    <t>More staff to accommodate the students</t>
  </si>
  <si>
    <t xml:space="preserve">Good service </t>
  </si>
  <si>
    <t>BSECE1</t>
  </si>
  <si>
    <t>Passing assignments)/requirements.</t>
  </si>
  <si>
    <t xml:space="preserve">It's okay, people are nice. </t>
  </si>
  <si>
    <t xml:space="preserve">None so far. </t>
  </si>
  <si>
    <t>BStm</t>
  </si>
  <si>
    <t>The services provided by the office are generally good and satisfactory. The staff are polite, helpful, and professional. The procedures are clear, and transactions are processed smoothly. However, there is still room for improvement, especially in reducing waiting time and making information easier to access.</t>
  </si>
  <si>
    <t xml:space="preserve">
1. Reduce waiting time by improving the queuing system or using online appointments.
2. Provide clear information and post requirements/guidelines visibly so customers know what to prepare.
3. Upgrade facilities to make the area more comfortable, clean, and well-ventilated.
4. Enhance staff service by maintaining a friendly, professional, and approachable attitude.
5. Use technology to make transactions faster and easier.</t>
  </si>
  <si>
    <t>No comment.</t>
  </si>
  <si>
    <t>No suggestion.</t>
  </si>
  <si>
    <t>5/4/0002</t>
  </si>
  <si>
    <t>it was good</t>
  </si>
  <si>
    <t>Bsece</t>
  </si>
  <si>
    <t xml:space="preserve">     </t>
  </si>
  <si>
    <t xml:space="preserve">There's nothing at all </t>
  </si>
  <si>
    <t>For survey</t>
  </si>
  <si>
    <t>College of Hospitality and Tourism Management</t>
  </si>
  <si>
    <t>I can say that the services provided by the office are good and organized. The staff are helpful and able to assist customer or the student properly, making the process smooth and efficient.</t>
  </si>
  <si>
    <t xml:space="preserve"> I think the office is already doing well in serving customers. The staff are helpful, and the process is organized, so there are no suggestions for improvement at the moment.</t>
  </si>
  <si>
    <t xml:space="preserve">BSBA MM 1 </t>
  </si>
  <si>
    <t>Unit</t>
  </si>
  <si>
    <t xml:space="preserve">nice </t>
  </si>
  <si>
    <t>Not Good Not Bad</t>
  </si>
  <si>
    <t>I would like to suggest to be a responsible to every department and be fair always</t>
  </si>
  <si>
    <t>5/4/0026</t>
  </si>
  <si>
    <t>cba</t>
  </si>
  <si>
    <t>1st year BSTM</t>
  </si>
  <si>
    <t>A good service. The staff is approachable.</t>
  </si>
  <si>
    <t>no comment</t>
  </si>
  <si>
    <t xml:space="preserve">great </t>
  </si>
  <si>
    <t>BSHM-HRM-1B</t>
  </si>
  <si>
    <t>it's good</t>
  </si>
  <si>
    <t>Non</t>
  </si>
  <si>
    <t xml:space="preserve">Non </t>
  </si>
  <si>
    <t>The services provided by the office are efficient, helpful, and well-organized. The staff are approachable, responsive, and provide clear assistance to clients. Overall, the office delivers quality service, although improvements in waiting time and communication can still be made.</t>
  </si>
  <si>
    <t>My suggestions to improve customer experience with this office are to provide faster service, improve communication with clients, maintain a friendly and approachable staff, and ensure that information and processes are clear and organized. Adding more comfortable waiting areas and offering online services can also help make transactions more convenient.</t>
  </si>
  <si>
    <t>Others</t>
  </si>
  <si>
    <t>Cso</t>
  </si>
  <si>
    <t>Its very good</t>
  </si>
  <si>
    <t>Happy</t>
  </si>
  <si>
    <t xml:space="preserve">BSHM CSO 1-C </t>
  </si>
  <si>
    <t>Working students shouldn't be grumpy</t>
  </si>
  <si>
    <t>Cso 1-A</t>
  </si>
  <si>
    <t xml:space="preserve">Very Good
</t>
  </si>
  <si>
    <t>Friendlier and Accurate Schedules</t>
  </si>
  <si>
    <t>5/5/0026</t>
  </si>
  <si>
    <t>CHTM-1C</t>
  </si>
  <si>
    <t xml:space="preserve">It's good and there's nothing to comment </t>
  </si>
  <si>
    <t>Make it fastes</t>
  </si>
  <si>
    <t>CHTM BSHM</t>
  </si>
  <si>
    <t>10/11/0007</t>
  </si>
  <si>
    <t xml:space="preserve">Requirements </t>
  </si>
  <si>
    <t>its good namn po</t>
  </si>
  <si>
    <t>nothing, they’re doing great!!</t>
  </si>
  <si>
    <t xml:space="preserve">Submit requirements </t>
  </si>
  <si>
    <t>Very fast transactions.</t>
  </si>
  <si>
    <t>Add chair or table outside office for students to use.</t>
  </si>
  <si>
    <t>HRM-1A</t>
  </si>
  <si>
    <t>I have no comments as the services provided are satisfactory</t>
  </si>
  <si>
    <t xml:space="preserve">I have no suggestions as the customer service has been amicable </t>
  </si>
  <si>
    <t>5/6/0026</t>
  </si>
  <si>
    <t>Better</t>
  </si>
  <si>
    <t>BSHM CSO 1B</t>
  </si>
  <si>
    <t xml:space="preserve">Bshm Cso-1C </t>
  </si>
  <si>
    <t>That the working students shouldn't be attitude anymore</t>
  </si>
  <si>
    <t>Filamer Christian University, College of Computer Studies</t>
  </si>
  <si>
    <t>I'm studenr of CSO from hm department. Actually all of the behavior and attitudes are good</t>
  </si>
  <si>
    <t xml:space="preserve">excellent, I hope to still maintain their good service </t>
  </si>
  <si>
    <t xml:space="preserve">Fast </t>
  </si>
  <si>
    <t>Good service</t>
  </si>
  <si>
    <t>The office provides generally organized and helpful services to clients.</t>
  </si>
  <si>
    <t xml:space="preserve">To improve customer experience, the office could focus on reducing waiting time by adding more staff or improving the queue system. </t>
  </si>
  <si>
    <t xml:space="preserve">1st year </t>
  </si>
  <si>
    <t>The services offered by the office are generally good and helpful. Staff members are approachable and willing to assist, and most of the processes are clear enough to follow. While there are times when waiting takes a bit longer than expected.</t>
  </si>
  <si>
    <t>Post updated guidelines or announcements more visibly so students don’t get confused.</t>
  </si>
  <si>
    <t>The transaction was completed successfully, and the staff was professional.</t>
  </si>
  <si>
    <t>The service was efficient and met all my expectations. No further suggestions</t>
  </si>
  <si>
    <t xml:space="preserve">Request for NSTP Serial Number, Mangrove Planting Activity </t>
  </si>
  <si>
    <t>...</t>
  </si>
  <si>
    <t xml:space="preserve">Professional and attentive </t>
  </si>
  <si>
    <t>Submission of Activity</t>
  </si>
  <si>
    <t>Very good</t>
  </si>
  <si>
    <t>The NSTP office provides organized and helpful services to students. The staff are approachable and assist students properly with their concerns and requirements.</t>
  </si>
  <si>
    <t>To improve customer experience, the NSTP office may provide faster transactions, clearer announcements, and more updated information for students.</t>
  </si>
  <si>
    <t>Enrollment</t>
  </si>
  <si>
    <t>Midterm Requirements</t>
  </si>
  <si>
    <t>nstp</t>
  </si>
  <si>
    <t xml:space="preserve">Bigger and better ambiance </t>
  </si>
  <si>
    <t>smooth and provided good service</t>
  </si>
  <si>
    <t xml:space="preserve">My transaction went smooth and that’s a 10 for an office. </t>
  </si>
  <si>
    <t xml:space="preserve">Very accommodating </t>
  </si>
  <si>
    <t>Opsyon 1</t>
  </si>
  <si>
    <t>—</t>
  </si>
  <si>
    <t xml:space="preserve">No comment </t>
  </si>
  <si>
    <t xml:space="preserve">nothing 
</t>
  </si>
  <si>
    <t>CBA - BSBA MM</t>
  </si>
  <si>
    <t>Nothing, but everything is fine. I love fcu 💎</t>
  </si>
  <si>
    <t xml:space="preserve">None! </t>
  </si>
  <si>
    <t>The staff were friendly, accommodating, and professional. The transaction was smooth, convenient, and easy to understand.</t>
  </si>
  <si>
    <t>The service is already good. I suggest continuing to provide fast, clear, and friendly assistance to customers.</t>
  </si>
  <si>
    <t xml:space="preserve">BSIT 1D </t>
  </si>
  <si>
    <t xml:space="preserve">Good and reliable </t>
  </si>
  <si>
    <t>Okay</t>
  </si>
  <si>
    <t xml:space="preserve">Student </t>
  </si>
  <si>
    <t xml:space="preserve">N/A
</t>
  </si>
  <si>
    <t xml:space="preserve">BHRM </t>
  </si>
  <si>
    <t xml:space="preserve">The office provides efficient and reliable services. The staff are approachable, helpful, and process requests in a timely manner.
</t>
  </si>
  <si>
    <t>The office may improve customer experience by reducing waiting time, providing clearer information, and offering more convenient online services.</t>
  </si>
  <si>
    <t>Opsyon 2</t>
  </si>
  <si>
    <t>Verygood</t>
  </si>
  <si>
    <t xml:space="preserve">I'm suggest to to good communication </t>
  </si>
  <si>
    <t>so</t>
  </si>
  <si>
    <t>Make a good communication</t>
  </si>
  <si>
    <t>Nothing its all goods</t>
  </si>
  <si>
    <t xml:space="preserve">Nothing to improved it’s all perfect </t>
  </si>
  <si>
    <t>I agree</t>
  </si>
  <si>
    <t>Nice good</t>
  </si>
  <si>
    <t xml:space="preserve">To nice communication </t>
  </si>
  <si>
    <t>Provide faster and more organized service.</t>
  </si>
  <si>
    <t xml:space="preserve">Good teaching </t>
  </si>
  <si>
    <t>Make good cummunication</t>
  </si>
  <si>
    <t>All goods, they provide good services</t>
  </si>
  <si>
    <t>Nothing, because it still good serve</t>
  </si>
  <si>
    <t>okay</t>
  </si>
  <si>
    <t xml:space="preserve">Very good sevives </t>
  </si>
  <si>
    <t>I don't have any suggestions, because it was treated me fairly already.</t>
  </si>
  <si>
    <t>argelynramirez4@gmail.com</t>
  </si>
  <si>
    <t>Good communication and easy to approach</t>
  </si>
  <si>
    <t>Don't pressure them</t>
  </si>
  <si>
    <t xml:space="preserve">good </t>
  </si>
  <si>
    <t>yung sa gym sobrang init</t>
  </si>
  <si>
    <t>So far so good, the staffs are very welcoming and easy to communicate.</t>
  </si>
  <si>
    <t>Stay approachable when ask by students and speak nicely to them so that they won't feel scared when they have something to ask.</t>
  </si>
  <si>
    <t>tambalalthea@gmail.com</t>
  </si>
  <si>
    <t>The services provided by the office were efficient, organized, and client-friendly.</t>
  </si>
  <si>
    <t>I suggest to maintain good communication by providing clear instructions,and courteous assistance Adding a help desk and improving online response would make the service more efficient and client-friendly</t>
  </si>
  <si>
    <t xml:space="preserve">keep treating students with fair and honest </t>
  </si>
  <si>
    <t>mariahvipinosa@gmail.com</t>
  </si>
  <si>
    <t>Faye</t>
  </si>
  <si>
    <t xml:space="preserve">I dont have any answers for this question </t>
  </si>
  <si>
    <t>Probably make good communication and  focus on reducing customer effort, speeding up response times, and personalizing interactions across every touchpoint</t>
  </si>
  <si>
    <t>excellent</t>
  </si>
  <si>
    <t>make a easy to understand instructions</t>
  </si>
  <si>
    <t>Very Good</t>
  </si>
  <si>
    <t>Ask politely and communicate clearly</t>
  </si>
  <si>
    <t>Make good communication</t>
  </si>
  <si>
    <t xml:space="preserve">yes make good communication </t>
  </si>
  <si>
    <t>honeylovecabalonga6@gmail.com</t>
  </si>
  <si>
    <t>none, the service is good</t>
  </si>
  <si>
    <t>Lykamariejarce@gmail.com</t>
  </si>
  <si>
    <t>Good as much</t>
  </si>
  <si>
    <t>The office provides efficient and helpful services, with friendly and accommodating staff</t>
  </si>
  <si>
    <t>Improve service efficiency by reducing waiting time and providing clear information to customers</t>
  </si>
  <si>
    <t xml:space="preserve">be approachable </t>
  </si>
  <si>
    <t xml:space="preserve">The office provides fast transactions </t>
  </si>
  <si>
    <t xml:space="preserve">should cater more online transactions </t>
  </si>
  <si>
    <t>none.</t>
  </si>
  <si>
    <t>Hicalde, Marc Gabriel C.</t>
  </si>
  <si>
    <t xml:space="preserve">Brilliant </t>
  </si>
  <si>
    <t xml:space="preserve">I don't have a suggestion because my experience is good </t>
  </si>
  <si>
    <t xml:space="preserve">Make good communication </t>
  </si>
  <si>
    <t xml:space="preserve">Good communication </t>
  </si>
  <si>
    <t>The services provided by the NSTP Office are excellent, efficient, and very accommodating. The staff are approachable, respectful, and handle student concerns professionally. Overall, I am very satisfied.</t>
  </si>
  <si>
    <t>I suggest maintaining good communication and providing timely updates through online platforms like GC or Facebook for announcements. Continue the accommodating service.</t>
  </si>
  <si>
    <t>I Agree</t>
  </si>
  <si>
    <t xml:space="preserve">What can you comment about the the services provided by the office? 
Good
</t>
  </si>
  <si>
    <t>To improve customer experience, the office could provide faster service, clearer communication, and more organized procedures. Staff should remain friendly, approachable, and responsive to customers’ concerns. Providing clear information about requirements, processing times, and procedures would also make the experience more convenient and satisfying.</t>
  </si>
  <si>
    <t xml:space="preserve">
The services are good and helpful</t>
  </si>
  <si>
    <t>Make good communication and provide clear information to customers</t>
  </si>
  <si>
    <t>The services provided by the office are good. The staff are helpful, accommodating, and provide services efficiently.</t>
  </si>
  <si>
    <t xml:space="preserve">This is a client satisfaction survey from Filamer Christian University (FCU). You can answer it based on your actual experience with the office.  For the questions you shared earlier, you can use:  Services provided by the office: Good. The staff are helpful, accommodating, and provide services efficiently.  Suggestions to improve customer experience: Improve the speed of service, provide clear information, and continue being friendly and accommodating to </t>
  </si>
  <si>
    <t>The services provided by the office are good. The staff are helpful and accommodating, and they assist customers with their concerns properly.</t>
  </si>
  <si>
    <t>Improve communication with customers by being clear, friendly, and responsive. Make sure their concerns are listened to and addressed properly and promptly</t>
  </si>
  <si>
    <t xml:space="preserve">
To improve customer experience, the office could provide faster service, clearer communication, and more organized procedures. Staff should remain friendly, approachable, and responsive to customers’ concerns. Providing clear information about requirements, processing times, and procedures would also make the experience more convenient and satisfying.</t>
  </si>
  <si>
    <t>Services provided by the office: Good. The staff are helpful, accommodating, and provide services efficiently. Suggestions to improve customer experience: Improve the speed of service, provide clear information, and continue being friendly and accommodating to clients.</t>
  </si>
  <si>
    <t>make a good communication and good manners</t>
  </si>
  <si>
    <t xml:space="preserve">Just always be kind. 😊 </t>
  </si>
  <si>
    <t xml:space="preserve">ghianegmail@gmail.com </t>
  </si>
  <si>
    <t>The services provided by the office are good and helpful. The staff are accommodating and assist customers with their concerns. However, the service could be improved by making the process faster and providing clearer information to customers.</t>
  </si>
  <si>
    <t>I suggest improving the customer experience by providing faster service, clear information, and friendly assistance. The staff should be approachable, patient, and willing to help customers with their concerns. It would also be helpful to keep the office clean and organized and reduce waiting time.</t>
  </si>
  <si>
    <t>Lyzashane@gmail.com</t>
  </si>
  <si>
    <t>royandrie.quirao@filamer.edu.ph</t>
  </si>
  <si>
    <t>ok</t>
  </si>
  <si>
    <t>apejaredjonz@gmail.com</t>
  </si>
  <si>
    <t xml:space="preserve">good communication </t>
  </si>
  <si>
    <t>yes</t>
  </si>
  <si>
    <t xml:space="preserve">Yes </t>
  </si>
  <si>
    <t>9/10</t>
  </si>
  <si>
    <t xml:space="preserve">Good approaching </t>
  </si>
  <si>
    <t>clarckkieboi@gmail.com</t>
  </si>
  <si>
    <t xml:space="preserve">Nickaela G. Upod  </t>
  </si>
  <si>
    <t>Good!</t>
  </si>
  <si>
    <t>Shamille Villarisco</t>
  </si>
  <si>
    <t>Worth your time</t>
  </si>
  <si>
    <t>Toffer Jay A. Volcan</t>
  </si>
  <si>
    <t>great</t>
  </si>
  <si>
    <t>very nice</t>
  </si>
  <si>
    <t>JOHN CESAR DOLOR</t>
  </si>
  <si>
    <t>It was great</t>
  </si>
  <si>
    <t xml:space="preserve">It's okay already </t>
  </si>
  <si>
    <t>gwenstephanie.daso@filamer.edu.ph</t>
  </si>
  <si>
    <t xml:space="preserve">responsible </t>
  </si>
  <si>
    <t>nixonsabolbora1@gmail.com</t>
  </si>
  <si>
    <t>shekinahlie.obice@filamer.edu.ph</t>
  </si>
  <si>
    <t xml:space="preserve">make responsible </t>
  </si>
  <si>
    <t>francis.jaro@filamer.edu.ph</t>
  </si>
  <si>
    <t>magerlynbinoy@gmail.com</t>
  </si>
  <si>
    <t>janreymontoya894@gmail.com</t>
  </si>
  <si>
    <t>richeedatiles95@gmail.com</t>
  </si>
  <si>
    <t xml:space="preserve">Good
</t>
  </si>
  <si>
    <t>Nothing, because for me it is good, good staff and convenient</t>
  </si>
  <si>
    <t>labusonmarklourence.fcu@gmail.com</t>
  </si>
  <si>
    <t>johnvincebalmes@gmail.com</t>
  </si>
  <si>
    <t>reynandkenzita25@gmail.com</t>
  </si>
  <si>
    <t>kingaltamia8100@gmail.com</t>
  </si>
  <si>
    <t>princecharlesfrancisco22@gmail.com</t>
  </si>
  <si>
    <t>Best service</t>
  </si>
  <si>
    <t>Toffer Jay A Volcan</t>
  </si>
  <si>
    <t>tofferszkie01@gmail.com</t>
  </si>
  <si>
    <t>angelsecretario200@gmail.com</t>
  </si>
  <si>
    <t>greet them nicely</t>
  </si>
  <si>
    <t>marandreiaguilar@gmail.com</t>
  </si>
  <si>
    <t xml:space="preserve">Awesome </t>
  </si>
  <si>
    <t xml:space="preserve">Yes make good communication </t>
  </si>
  <si>
    <t>Yes</t>
  </si>
  <si>
    <t>iankurthugo2@gmail.com</t>
  </si>
  <si>
    <t>cedzz2258@gmail.com</t>
  </si>
  <si>
    <t>80/100</t>
  </si>
  <si>
    <t>Yep</t>
  </si>
  <si>
    <t>charlesbalerado21@gmail.com</t>
  </si>
  <si>
    <t>mitchabigaelliberty@gmail.com</t>
  </si>
  <si>
    <t>Okay lang</t>
  </si>
  <si>
    <t>angelocartujano11@gmail.com</t>
  </si>
  <si>
    <t>felfurigal@gmail.com</t>
  </si>
  <si>
    <t>jezcaperalta@gmail.com</t>
  </si>
  <si>
    <t xml:space="preserve">Goods na goods
</t>
  </si>
  <si>
    <t>okey na okey naman na po</t>
  </si>
  <si>
    <t>hannapebanzon@gmail.com</t>
  </si>
  <si>
    <t>the communication with office is actually good i dont know if there is thing to improve</t>
  </si>
  <si>
    <t>ajlobo0410@gmail.com</t>
  </si>
  <si>
    <t>GOOD</t>
  </si>
  <si>
    <t>i think there's nothing to improve, costumers service really satisfied as namn for sure</t>
  </si>
  <si>
    <t>malaraespeso95@gmail.com</t>
  </si>
  <si>
    <t>elleysanchez02@gmail.com</t>
  </si>
  <si>
    <t>faulvekrizhamae0@gmail.com</t>
  </si>
  <si>
    <t>magromicaella02@gmail.com</t>
  </si>
  <si>
    <t xml:space="preserve">It was good </t>
  </si>
  <si>
    <t>mikiprtty9@gmail.com</t>
  </si>
  <si>
    <t>Teach your worker proper manners when interacting with other students. You can be in a bad mood, but don’t take it out on students who just want to pass something to the office.</t>
  </si>
  <si>
    <t>billoneskathleen56@gmail.com</t>
  </si>
  <si>
    <t>My suggestion is to improve communication with customers. The staff should be friendly, approachable, and clear when giving information. They should also listen to customers’ concerns and respond politely and quickly. Good communication can make customers feel respected, comfortable, and satisfied with the service.</t>
  </si>
  <si>
    <t>cd0767154@gmail.com</t>
  </si>
  <si>
    <t>I suggest improving communication with clients by providing clear information, responding to questions politely, and assisting customers promptly. Friendly and approachable staff can make clients feel more comfortable and satisfied with the service.</t>
  </si>
  <si>
    <t>Improve communication with clients and make sure staff are friendly, approachable, and responsive to their concerns.</t>
  </si>
  <si>
    <t>chrisalonavillasis@gmail.com</t>
  </si>
  <si>
    <t>marielcondes289@gmail.com</t>
  </si>
  <si>
    <t>laysonlouise7@gmail.com</t>
  </si>
  <si>
    <t>dumdumankayehazel06@gmail.com</t>
  </si>
  <si>
    <t>markbengan2@gmail.com</t>
  </si>
  <si>
    <t>Sure</t>
  </si>
  <si>
    <t>michelllorenzo475@gmail.com</t>
  </si>
  <si>
    <t>The services provided by the office were good, and the staff were helpful, accommodating, and professional.</t>
  </si>
  <si>
    <t>Improve communication by providing clear and timely updates regarding requirements, schedules, and other important information.</t>
  </si>
  <si>
    <t>Prinnze Rhemmer D. Bautista</t>
  </si>
  <si>
    <t>prinnzeofthedessert@gmail.com</t>
  </si>
  <si>
    <t>prinnzerhemmer.bautista@filamer.edu.ph</t>
  </si>
  <si>
    <t xml:space="preserve">make it easier to communicate </t>
  </si>
  <si>
    <t>fadrigaarianeloraine3@gmail.com</t>
  </si>
  <si>
    <t>Make communication</t>
  </si>
  <si>
    <t>nepomucenojacob79@gmail.com</t>
  </si>
  <si>
    <t>funtinillamarlynbless@gmail.com</t>
  </si>
  <si>
    <t>For me there is a improve of communication but overall good</t>
  </si>
  <si>
    <t>villalvakyle3@gmail.com</t>
  </si>
  <si>
    <t>joeriellian.amilig@filamer.edu.ph</t>
  </si>
  <si>
    <t>kentanoche7@gmail.com</t>
  </si>
  <si>
    <t>arabiajaymark@gmail.com</t>
  </si>
  <si>
    <t>jennymaealbaladejo4@gmail.com</t>
  </si>
  <si>
    <t>nino.barcelona@filamer.edu.ph</t>
  </si>
  <si>
    <t>the services provided by the office are good, helpful, and satisfactory</t>
  </si>
  <si>
    <t>improve communication by providng clear and timely information and responding politely to concerns</t>
  </si>
  <si>
    <t>kizealeecagay07@gmail.com</t>
  </si>
  <si>
    <t>fanugonjohnroger1@gmail.com</t>
  </si>
  <si>
    <t>The services are good and helpful. The staff are polite and do their best to assist students like me.</t>
  </si>
  <si>
    <t xml:space="preserve">Improve communication by providing timely updates on requirements, schedules, and announcements through official fb page or group page. That's all. </t>
  </si>
  <si>
    <t>kimberlyclomata921@gmail.com</t>
  </si>
  <si>
    <t>n/a i like the service they give</t>
  </si>
  <si>
    <t>calimosoalexa@gmail.com</t>
  </si>
  <si>
    <t>ciprianofamela@gmail.com</t>
  </si>
  <si>
    <t>qwyncygaspar13@gmail.com</t>
  </si>
  <si>
    <t>jamesgabrielalatiit836@gmail.com</t>
  </si>
  <si>
    <t>gabrieldelfin90@gmail.com</t>
  </si>
  <si>
    <t>daveoso978@gmail.com</t>
  </si>
  <si>
    <t xml:space="preserve">More than a good </t>
  </si>
  <si>
    <t xml:space="preserve">Be a good communication </t>
  </si>
  <si>
    <t>eijhay130@gmail.com</t>
  </si>
  <si>
    <t>The response is good</t>
  </si>
  <si>
    <t>Be a good responsive</t>
  </si>
  <si>
    <t>stephennacario213@gmail.com</t>
  </si>
  <si>
    <t>azaleasantos166@gmail.com</t>
  </si>
  <si>
    <t>siannabriones0401@gmail.com</t>
  </si>
  <si>
    <t>VERY GOOD</t>
  </si>
  <si>
    <t>Make the best</t>
  </si>
  <si>
    <t>lancedgabriel2007@gmail.com</t>
  </si>
  <si>
    <t>make responsible</t>
  </si>
  <si>
    <t>grantguanco3@gmail.com</t>
  </si>
  <si>
    <t>I hope they will be approachable and kind to those who have concerns about something.</t>
  </si>
  <si>
    <t>ma.meyah.lopez@filamer.edu.ph</t>
  </si>
  <si>
    <t xml:space="preserve">Satisfied expectations </t>
  </si>
  <si>
    <t xml:space="preserve">Friendliness and approachability </t>
  </si>
  <si>
    <t>mathew.golero@filamer.edu.ph</t>
  </si>
  <si>
    <t>nice</t>
  </si>
  <si>
    <t>nichole.tagle@filamer.edu.ph</t>
  </si>
  <si>
    <t>lea297610@gmail.com</t>
  </si>
  <si>
    <t>The services provided by the officer are good</t>
  </si>
  <si>
    <t xml:space="preserve">Maintain good communication and friendly service to customer </t>
  </si>
  <si>
    <t xml:space="preserve">Good communication, friendly service and be respectful </t>
  </si>
  <si>
    <t>subigcaavril01@gmail.com</t>
  </si>
  <si>
    <t>raykendrickbanares@gmail.com</t>
  </si>
  <si>
    <t xml:space="preserve">I hope they approach things more kindly because sometimes students make mistakes and don't know what to do. </t>
  </si>
  <si>
    <t>chinbantilo@gmail.com</t>
  </si>
  <si>
    <t>Great</t>
  </si>
  <si>
    <t>Good communication</t>
  </si>
  <si>
    <t>mameynallalozada@gmail.com</t>
  </si>
  <si>
    <t xml:space="preserve">make good communication </t>
  </si>
  <si>
    <t>katrinaquirao24@gmail.com</t>
  </si>
  <si>
    <t>janekashmiramancio@gmail.com</t>
  </si>
  <si>
    <t>The services provided by the office are good and helpful. The staff are accommodating and assist customers properly.</t>
  </si>
  <si>
    <t>Improve communication and provide clear information to customers. The staff should also be friendly, approachable, and responsive to questions.</t>
  </si>
  <si>
    <t>prttykyla18@gmail.com</t>
  </si>
  <si>
    <t>amantillokristanjade@gmail.com</t>
  </si>
  <si>
    <t>ferlynmeyy@gmail.com</t>
  </si>
  <si>
    <t xml:space="preserve">I hope they will be kind enough to answer and polite , because sometimes there are students they don't know what to say and sometimes they not sure where to give it. </t>
  </si>
  <si>
    <t>charriseangeltimoteo6@gmail.com</t>
  </si>
  <si>
    <t>rojeancandido41@gmail.com</t>
  </si>
  <si>
    <t>riegild@gmail.com</t>
  </si>
  <si>
    <t>Some employees are mean to me so please hire more people that are capable and kinder</t>
  </si>
  <si>
    <t>ibascoprincessfrancel@gmail.com</t>
  </si>
  <si>
    <t>shaniahheartf@gmail.com</t>
  </si>
  <si>
    <t>yunisgonzales722@gmail.com</t>
  </si>
  <si>
    <t>good as like me</t>
  </si>
  <si>
    <t>more good person</t>
  </si>
  <si>
    <t>aceronrobenn@gmail.com</t>
  </si>
  <si>
    <t>allenjan1233@gmail.com</t>
  </si>
  <si>
    <t>It is Good</t>
  </si>
  <si>
    <t>Nothing because the staffs from the office treat us well</t>
  </si>
  <si>
    <t>nicaqueenacdal25@gmail.com</t>
  </si>
  <si>
    <t xml:space="preserve">
</t>
  </si>
  <si>
    <t>zaidsamanthajoy@gmail.com</t>
  </si>
  <si>
    <t>cobeyjones250@gmail.com</t>
  </si>
  <si>
    <t>jiancarlvbarros@gmail.com</t>
  </si>
  <si>
    <t xml:space="preserve">good manners and good communication </t>
  </si>
  <si>
    <t>borcejayedwin123@gmail.com</t>
  </si>
  <si>
    <t>shyearricivita18@gmail.com</t>
  </si>
  <si>
    <t>alexisjanediola001@gmail.com</t>
  </si>
  <si>
    <t>Thank you for your service</t>
  </si>
  <si>
    <t>cantuadave5@gmail.com</t>
  </si>
  <si>
    <t>mayjoyfaenag@gmail.com</t>
  </si>
  <si>
    <t>altheabedeo4@gmail.com</t>
  </si>
  <si>
    <t>angelmagabolo@gmail.com</t>
  </si>
  <si>
    <t>mikaelagardose1718@gmail.com</t>
  </si>
  <si>
    <t>The office provides good service, and the staff are helpful, accommodating, and respectful to customers.</t>
  </si>
  <si>
    <t>Improve customer service by providing faster transactions, friendly staff, clear instructions, and a clean, comfortable waiting area.</t>
  </si>
  <si>
    <t>valdezgabrielnino@gmail.com</t>
  </si>
  <si>
    <t>aljunbase123@gmail.com</t>
  </si>
  <si>
    <t>baljeangrace@gmail.com</t>
  </si>
  <si>
    <t>laurenceliba631@gmail.com</t>
  </si>
  <si>
    <t>Having accommodating teachers and approachable staff significantly improves the overall school climate, making daily interactions smoother for everyone involved.</t>
  </si>
  <si>
    <t>To improve customer experience and communication in an office setting, implement these actionable strategies grounded in best practices from Indeed and Freshworks:</t>
  </si>
  <si>
    <t>sheeanalbances8@gmail.com</t>
  </si>
  <si>
    <t>rjanoche1@gmail.com</t>
  </si>
  <si>
    <t>Make transaction online</t>
  </si>
  <si>
    <t>ramonandree2008@gmail.com</t>
  </si>
  <si>
    <t>floresmarygrace793@gmail.com</t>
  </si>
  <si>
    <t>yzrachristoffer.okut@filamer.edu.ph</t>
  </si>
  <si>
    <t xml:space="preserve">more approachable </t>
  </si>
  <si>
    <t>fritzrocaberteperez@gmail.com</t>
  </si>
  <si>
    <t xml:space="preserve">good, teachers and staff are accommodating </t>
  </si>
  <si>
    <t>kenjieatienza8@gmail.com</t>
  </si>
  <si>
    <t xml:space="preserve">Yes, they're so good. </t>
  </si>
  <si>
    <t>ernestoapriljoy74@gmail.com</t>
  </si>
  <si>
    <t>great teacher and staff</t>
  </si>
  <si>
    <t>arabialorraine5@gmail.com</t>
  </si>
  <si>
    <t>Teachers and staff are accommodating.</t>
  </si>
  <si>
    <t>jerusalemandalecio971@gmail.com</t>
  </si>
  <si>
    <t>hshyramae@gmail.com</t>
  </si>
  <si>
    <t>freshadelacruz925@gmail.com</t>
  </si>
  <si>
    <t xml:space="preserve">It's good teacher's and staff are kind and very understanding </t>
  </si>
  <si>
    <t>Maintain good communication and continue treating customers with kindness and respect.</t>
  </si>
  <si>
    <t>maeecalz@gmail.com</t>
  </si>
  <si>
    <t>None.</t>
  </si>
  <si>
    <t xml:space="preserve">maybe approach students kindly and respectfully </t>
  </si>
  <si>
    <t>shinazzian@gmail.com</t>
  </si>
  <si>
    <t>bermejojohnpaulo6@gmail.com</t>
  </si>
  <si>
    <t>colinebuni2@gmail.com</t>
  </si>
  <si>
    <t>adrianikeletran7@gmail.com</t>
  </si>
  <si>
    <t>kameamayo@gmail.com</t>
  </si>
  <si>
    <t>gerlierosedizon392@gmail.com</t>
  </si>
  <si>
    <t>sitchoncarlife@gmail.com</t>
  </si>
  <si>
    <t>johnmicocerado9@gmail.com</t>
  </si>
  <si>
    <t>iannicoleupendon@gmail.com</t>
  </si>
  <si>
    <t xml:space="preserve">The office provides good and reliable services, with accommodating staff who are helpful and approachable.
</t>
  </si>
  <si>
    <t xml:space="preserve">Continue maintaining the office’s good service and professionalism while finding small ways to make the customer experience even more comfortable and convenient.
</t>
  </si>
  <si>
    <t>xairabasco@gmail.com</t>
  </si>
  <si>
    <t>custodiokeana@gmail.com</t>
  </si>
  <si>
    <t>reneboylachica11@gmail.com</t>
  </si>
  <si>
    <t>lapidezandrea7@gmail.com</t>
  </si>
  <si>
    <t xml:space="preserve">They treat customers with respect and provide assistance whenever needed. </t>
  </si>
  <si>
    <t xml:space="preserve">Ensure that all staff members are friendly approachable, respectful and patient when assisting customer. </t>
  </si>
  <si>
    <t>samlemueldayao827@gmail.com</t>
  </si>
  <si>
    <t>The services provided by the office are good and helpful. The staff are accommodating, respectful, and willing to assist customers with their concerns. However, improving the speed of service and providing clear information can make the overall customer experience even better.</t>
  </si>
  <si>
    <t>I suggest that the office improve customer experience by providing faster and more efficient service, treating customers with respect and friendliness, keeping the office clean and organized, and giving clear information and instructions. The staff should also be approachable, patient, and responsive to customers’ concerns to ensure everyone feels welcome and satisfied.</t>
  </si>
  <si>
    <t>besanabryan7@gmail.com</t>
  </si>
  <si>
    <t>mbridgetanne@gmail.com</t>
  </si>
  <si>
    <t>oroceojahzm@gmail.com</t>
  </si>
  <si>
    <t>The services provided by the office are good. The teachers and staff are accommodating, helpful, and approachable.</t>
  </si>
  <si>
    <t>Improve communication by providing clear, timely and consistent updates to clients and addressing their concerns promptly.</t>
  </si>
  <si>
    <t>missketjoy@gmail.com</t>
  </si>
  <si>
    <t>theaprudente85@gmail.com</t>
  </si>
  <si>
    <t>hannahsilverio36@gmail.com</t>
  </si>
  <si>
    <t>sombillasteven5@gmail.com</t>
  </si>
  <si>
    <t xml:space="preserve">its very understandnable
</t>
  </si>
  <si>
    <t>anonatbienandrew51@gmail.com</t>
  </si>
  <si>
    <t>The services are good, and the teachers and staff are accommodating</t>
  </si>
  <si>
    <t>Improve communication</t>
  </si>
  <si>
    <t>glenbyrrbayhonpesado@gmail.com</t>
  </si>
  <si>
    <t xml:space="preserve">Improve communication </t>
  </si>
  <si>
    <t>roselynecal21@gmail.com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</si>
</sst>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sz val="11.0"/>
      <color rgb="FFE6E8F0"/>
      <name val="Monospace"/>
    </font>
    <font>
      <color theme="1"/>
      <name val="Arial"/>
      <scheme val="minor"/>
    </font>
  </fonts>
  <fills count="3">
    <fill>
      <patternFill patternType="none"/>
    </fill>
    <fill>
      <patternFill patternType="lightGray"/>
    </fill>
    <fill>
      <patternFill patternType="solid">
        <fgColor rgb="FF1D1E26"/>
        <bgColor rgb="FF1D1E26"/>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164" xfId="0" applyFill="1" applyFont="1" applyNumberFormat="1"/>
    <xf borderId="0" fillId="0" fontId="2" numFmtId="0" xfId="0" applyFont="1"/>
    <xf borderId="0" fillId="0" fontId="2" numFmtId="164" xfId="0" applyFont="1" applyNumberForma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quotePrefix="1"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675" displayName="Form_Responses" name="Form_Responses" id="1">
  <tableColumns count="22">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10-8-26" id="3"/>
    <tableColumn name="Column 3" id="4"/>
    <tableColumn name="Unit/Affiliation" id="5"/>
    <tableColumn name="Sex [Row 1]" id="6"/>
    <tableColumn name="Services Availed: National Service Training Program (NSTP) Office"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_x000a_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the services provided by the office? _x000a__x000a__x000a__x000a__x000a_Good_x000a_Teachers and staff are accommodating." id="17"/>
    <tableColumn name="What are your suggestions to improve customer experience with this office? _x000a__x000a__x000a_Make good communication _x000a_" id="18"/>
    <tableColumn name="Column 18" id="19"/>
    <tableColumn name="Score" id="20"/>
    <tableColumn name="Column 20" id="21"/>
    <tableColumn name="Email Address"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18" width="37.63"/>
    <col customWidth="1" min="19" max="28" width="18.88"/>
  </cols>
  <sheetData>
    <row r="1" ht="22.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5" t="s">
        <v>19</v>
      </c>
      <c r="U1" s="5" t="s">
        <v>20</v>
      </c>
      <c r="V1" s="5" t="s">
        <v>21</v>
      </c>
    </row>
    <row r="2" ht="22.5" customHeight="1">
      <c r="A2" s="6">
        <v>45944.596049479165</v>
      </c>
      <c r="B2" s="7" t="s">
        <v>22</v>
      </c>
      <c r="C2" s="8">
        <v>45944.0</v>
      </c>
      <c r="D2" s="7" t="s">
        <v>23</v>
      </c>
      <c r="E2" s="7" t="s">
        <v>24</v>
      </c>
      <c r="F2" s="7" t="s">
        <v>25</v>
      </c>
      <c r="G2" s="7" t="s">
        <v>26</v>
      </c>
      <c r="H2" s="7">
        <v>5.0</v>
      </c>
      <c r="I2" s="7">
        <v>5.0</v>
      </c>
      <c r="J2" s="7">
        <v>5.0</v>
      </c>
      <c r="K2" s="7">
        <v>5.0</v>
      </c>
      <c r="L2" s="7">
        <v>5.0</v>
      </c>
      <c r="M2" s="7">
        <v>5.0</v>
      </c>
      <c r="N2" s="7">
        <v>5.0</v>
      </c>
      <c r="O2" s="7">
        <v>5.0</v>
      </c>
      <c r="P2" s="7">
        <v>9.0</v>
      </c>
      <c r="Q2" s="7" t="s">
        <v>27</v>
      </c>
      <c r="R2" s="7" t="s">
        <v>28</v>
      </c>
      <c r="S2" s="9"/>
      <c r="T2" s="9"/>
      <c r="U2" s="9"/>
      <c r="V2" s="9"/>
    </row>
    <row r="3" ht="22.5" customHeight="1">
      <c r="A3" s="6">
        <v>45985.4356591088</v>
      </c>
      <c r="B3" s="7" t="s">
        <v>22</v>
      </c>
      <c r="C3" s="8">
        <v>45985.0</v>
      </c>
      <c r="D3" s="7" t="s">
        <v>29</v>
      </c>
      <c r="E3" s="10"/>
      <c r="F3" s="7" t="s">
        <v>25</v>
      </c>
      <c r="G3" s="7" t="s">
        <v>26</v>
      </c>
      <c r="H3" s="7">
        <v>4.0</v>
      </c>
      <c r="I3" s="7">
        <v>5.0</v>
      </c>
      <c r="J3" s="7">
        <v>5.0</v>
      </c>
      <c r="K3" s="7">
        <v>5.0</v>
      </c>
      <c r="L3" s="7">
        <v>5.0</v>
      </c>
      <c r="M3" s="7">
        <v>5.0</v>
      </c>
      <c r="N3" s="7">
        <v>5.0</v>
      </c>
      <c r="O3" s="7">
        <v>5.0</v>
      </c>
      <c r="P3" s="7">
        <v>8.0</v>
      </c>
      <c r="Q3" s="10"/>
      <c r="R3" s="10"/>
      <c r="S3" s="10"/>
      <c r="T3" s="10"/>
      <c r="U3" s="10"/>
      <c r="V3" s="10"/>
    </row>
    <row r="4" ht="22.5" customHeight="1">
      <c r="A4" s="6">
        <v>45987.575932719905</v>
      </c>
      <c r="B4" s="7" t="s">
        <v>22</v>
      </c>
      <c r="C4" s="8">
        <v>45987.0</v>
      </c>
      <c r="D4" s="7" t="s">
        <v>29</v>
      </c>
      <c r="E4" s="10"/>
      <c r="F4" s="7" t="s">
        <v>30</v>
      </c>
      <c r="G4" s="7" t="s">
        <v>26</v>
      </c>
      <c r="H4" s="7">
        <v>5.0</v>
      </c>
      <c r="I4" s="7">
        <v>5.0</v>
      </c>
      <c r="J4" s="7">
        <v>5.0</v>
      </c>
      <c r="K4" s="7">
        <v>5.0</v>
      </c>
      <c r="L4" s="7">
        <v>4.0</v>
      </c>
      <c r="M4" s="7">
        <v>5.0</v>
      </c>
      <c r="N4" s="7">
        <v>5.0</v>
      </c>
      <c r="O4" s="7">
        <v>5.0</v>
      </c>
      <c r="P4" s="7">
        <v>10.0</v>
      </c>
      <c r="Q4" s="10"/>
      <c r="R4" s="10"/>
      <c r="S4" s="10"/>
      <c r="T4" s="10"/>
      <c r="U4" s="10"/>
      <c r="V4" s="10"/>
    </row>
    <row r="5" ht="22.5" customHeight="1">
      <c r="A5" s="6">
        <v>45987.57594607639</v>
      </c>
      <c r="B5" s="7" t="s">
        <v>22</v>
      </c>
      <c r="C5" s="8">
        <v>45972.0</v>
      </c>
      <c r="D5" s="7" t="s">
        <v>29</v>
      </c>
      <c r="E5" s="10"/>
      <c r="F5" s="7" t="s">
        <v>30</v>
      </c>
      <c r="G5" s="7" t="s">
        <v>26</v>
      </c>
      <c r="H5" s="7">
        <v>4.0</v>
      </c>
      <c r="I5" s="7">
        <v>5.0</v>
      </c>
      <c r="J5" s="7">
        <v>4.0</v>
      </c>
      <c r="K5" s="7">
        <v>5.0</v>
      </c>
      <c r="L5" s="7">
        <v>4.0</v>
      </c>
      <c r="M5" s="7">
        <v>5.0</v>
      </c>
      <c r="N5" s="7">
        <v>5.0</v>
      </c>
      <c r="O5" s="7">
        <v>5.0</v>
      </c>
      <c r="P5" s="7">
        <v>10.0</v>
      </c>
      <c r="Q5" s="10"/>
      <c r="R5" s="10"/>
      <c r="S5" s="10"/>
      <c r="T5" s="10"/>
      <c r="U5" s="10"/>
      <c r="V5" s="10"/>
    </row>
    <row r="6" ht="22.5" customHeight="1">
      <c r="A6" s="6">
        <v>45987.58397172454</v>
      </c>
      <c r="B6" s="7" t="s">
        <v>22</v>
      </c>
      <c r="C6" s="8">
        <v>45987.0</v>
      </c>
      <c r="D6" s="7" t="s">
        <v>29</v>
      </c>
      <c r="E6" s="7" t="s">
        <v>31</v>
      </c>
      <c r="F6" s="7" t="s">
        <v>30</v>
      </c>
      <c r="G6" s="7" t="s">
        <v>26</v>
      </c>
      <c r="H6" s="7">
        <v>5.0</v>
      </c>
      <c r="I6" s="7">
        <v>5.0</v>
      </c>
      <c r="J6" s="7">
        <v>5.0</v>
      </c>
      <c r="K6" s="7">
        <v>5.0</v>
      </c>
      <c r="L6" s="7">
        <v>4.0</v>
      </c>
      <c r="M6" s="7">
        <v>5.0</v>
      </c>
      <c r="N6" s="7">
        <v>5.0</v>
      </c>
      <c r="O6" s="7">
        <v>5.0</v>
      </c>
      <c r="P6" s="7">
        <v>10.0</v>
      </c>
      <c r="Q6" s="7" t="s">
        <v>32</v>
      </c>
      <c r="R6" s="7" t="s">
        <v>32</v>
      </c>
      <c r="S6" s="9"/>
      <c r="T6" s="9"/>
      <c r="U6" s="9"/>
      <c r="V6" s="9"/>
    </row>
    <row r="7" ht="22.5" customHeight="1">
      <c r="A7" s="11">
        <v>45993.4375312037</v>
      </c>
      <c r="B7" s="12" t="s">
        <v>22</v>
      </c>
      <c r="C7" s="13">
        <v>45993.0</v>
      </c>
      <c r="D7" s="12" t="s">
        <v>33</v>
      </c>
      <c r="F7" s="12" t="s">
        <v>25</v>
      </c>
      <c r="G7" s="12" t="s">
        <v>26</v>
      </c>
      <c r="H7" s="12">
        <v>5.0</v>
      </c>
      <c r="I7" s="12">
        <v>5.0</v>
      </c>
      <c r="J7" s="12">
        <v>5.0</v>
      </c>
      <c r="K7" s="12">
        <v>5.0</v>
      </c>
      <c r="L7" s="12">
        <v>5.0</v>
      </c>
      <c r="M7" s="12">
        <v>5.0</v>
      </c>
      <c r="N7" s="12">
        <v>5.0</v>
      </c>
      <c r="O7" s="12">
        <v>5.0</v>
      </c>
      <c r="P7" s="12">
        <v>10.0</v>
      </c>
    </row>
    <row r="8" ht="22.5" customHeight="1">
      <c r="A8" s="11">
        <v>46001.599948229166</v>
      </c>
      <c r="B8" s="12" t="s">
        <v>22</v>
      </c>
      <c r="C8" s="13">
        <v>46001.0</v>
      </c>
      <c r="D8" s="12" t="s">
        <v>23</v>
      </c>
      <c r="E8" s="12" t="s">
        <v>34</v>
      </c>
      <c r="F8" s="12" t="s">
        <v>25</v>
      </c>
      <c r="G8" s="12" t="s">
        <v>26</v>
      </c>
      <c r="H8" s="12">
        <v>5.0</v>
      </c>
      <c r="I8" s="12">
        <v>5.0</v>
      </c>
      <c r="J8" s="12">
        <v>5.0</v>
      </c>
      <c r="K8" s="12">
        <v>5.0</v>
      </c>
      <c r="L8" s="12">
        <v>5.0</v>
      </c>
      <c r="M8" s="12">
        <v>5.0</v>
      </c>
      <c r="N8" s="12">
        <v>5.0</v>
      </c>
      <c r="O8" s="12">
        <v>5.0</v>
      </c>
      <c r="P8" s="12">
        <v>10.0</v>
      </c>
    </row>
    <row r="9" ht="22.5" customHeight="1">
      <c r="A9" s="11">
        <v>46045.39378975694</v>
      </c>
      <c r="B9" s="12" t="s">
        <v>22</v>
      </c>
      <c r="C9" s="13">
        <v>46045.0</v>
      </c>
      <c r="D9" s="12" t="s">
        <v>35</v>
      </c>
      <c r="E9" s="12" t="s">
        <v>36</v>
      </c>
      <c r="F9" s="12" t="s">
        <v>30</v>
      </c>
      <c r="G9" s="12" t="s">
        <v>26</v>
      </c>
      <c r="H9" s="12">
        <v>4.0</v>
      </c>
      <c r="I9" s="12">
        <v>4.0</v>
      </c>
      <c r="J9" s="12">
        <v>4.0</v>
      </c>
      <c r="K9" s="12">
        <v>5.0</v>
      </c>
      <c r="L9" s="12">
        <v>5.0</v>
      </c>
      <c r="M9" s="12">
        <v>5.0</v>
      </c>
      <c r="N9" s="12">
        <v>5.0</v>
      </c>
      <c r="O9" s="12">
        <v>5.0</v>
      </c>
      <c r="P9" s="12">
        <v>9.0</v>
      </c>
      <c r="Q9" s="12" t="s">
        <v>37</v>
      </c>
      <c r="R9" s="12" t="s">
        <v>38</v>
      </c>
      <c r="S9" s="14"/>
      <c r="T9" s="14"/>
      <c r="U9" s="14"/>
      <c r="V9" s="14"/>
    </row>
    <row r="10" ht="22.5" customHeight="1">
      <c r="A10" s="11">
        <v>46045.74054530093</v>
      </c>
      <c r="B10" s="12" t="s">
        <v>22</v>
      </c>
      <c r="C10" s="13">
        <v>46045.0</v>
      </c>
      <c r="D10" s="12" t="s">
        <v>29</v>
      </c>
      <c r="F10" s="12" t="s">
        <v>30</v>
      </c>
      <c r="G10" s="12" t="s">
        <v>26</v>
      </c>
      <c r="H10" s="12">
        <v>5.0</v>
      </c>
      <c r="I10" s="12">
        <v>5.0</v>
      </c>
      <c r="J10" s="12">
        <v>5.0</v>
      </c>
      <c r="K10" s="12">
        <v>5.0</v>
      </c>
      <c r="L10" s="12">
        <v>5.0</v>
      </c>
      <c r="M10" s="12">
        <v>5.0</v>
      </c>
      <c r="N10" s="12">
        <v>5.0</v>
      </c>
      <c r="O10" s="12">
        <v>5.0</v>
      </c>
      <c r="P10" s="12">
        <v>10.0</v>
      </c>
    </row>
    <row r="11" ht="22.5" customHeight="1">
      <c r="A11" s="11">
        <v>46046.66182527778</v>
      </c>
      <c r="B11" s="12" t="s">
        <v>22</v>
      </c>
      <c r="C11" s="13">
        <v>46045.0</v>
      </c>
      <c r="D11" s="12" t="s">
        <v>35</v>
      </c>
      <c r="F11" s="12" t="s">
        <v>30</v>
      </c>
      <c r="G11" s="12" t="s">
        <v>26</v>
      </c>
      <c r="H11" s="12">
        <v>5.0</v>
      </c>
      <c r="I11" s="12">
        <v>5.0</v>
      </c>
      <c r="J11" s="12">
        <v>5.0</v>
      </c>
      <c r="K11" s="12">
        <v>5.0</v>
      </c>
      <c r="L11" s="12">
        <v>5.0</v>
      </c>
      <c r="M11" s="12">
        <v>5.0</v>
      </c>
      <c r="N11" s="12">
        <v>5.0</v>
      </c>
      <c r="O11" s="12">
        <v>5.0</v>
      </c>
      <c r="P11" s="12">
        <v>10.0</v>
      </c>
    </row>
    <row r="12" ht="22.5" customHeight="1">
      <c r="A12" s="11">
        <v>46069.40360733796</v>
      </c>
      <c r="B12" s="12" t="s">
        <v>22</v>
      </c>
      <c r="C12" s="13">
        <v>46069.0</v>
      </c>
      <c r="D12" s="12" t="s">
        <v>29</v>
      </c>
      <c r="F12" s="12" t="s">
        <v>30</v>
      </c>
      <c r="G12" s="12" t="s">
        <v>26</v>
      </c>
      <c r="H12" s="12">
        <v>5.0</v>
      </c>
      <c r="I12" s="12">
        <v>5.0</v>
      </c>
      <c r="J12" s="12">
        <v>5.0</v>
      </c>
      <c r="K12" s="12">
        <v>5.0</v>
      </c>
      <c r="L12" s="12">
        <v>5.0</v>
      </c>
      <c r="M12" s="12">
        <v>5.0</v>
      </c>
      <c r="N12" s="12">
        <v>5.0</v>
      </c>
      <c r="O12" s="12">
        <v>5.0</v>
      </c>
      <c r="P12" s="12">
        <v>10.0</v>
      </c>
    </row>
    <row r="13" ht="22.5" customHeight="1">
      <c r="A13" s="11">
        <v>46069.5101083912</v>
      </c>
      <c r="B13" s="12" t="s">
        <v>22</v>
      </c>
      <c r="C13" s="13">
        <v>39376.0</v>
      </c>
      <c r="D13" s="12" t="s">
        <v>29</v>
      </c>
      <c r="F13" s="12" t="s">
        <v>25</v>
      </c>
      <c r="G13" s="12" t="s">
        <v>26</v>
      </c>
      <c r="H13" s="12">
        <v>5.0</v>
      </c>
      <c r="I13" s="12">
        <v>5.0</v>
      </c>
      <c r="J13" s="12">
        <v>5.0</v>
      </c>
      <c r="K13" s="12">
        <v>5.0</v>
      </c>
      <c r="L13" s="12">
        <v>5.0</v>
      </c>
      <c r="M13" s="12">
        <v>5.0</v>
      </c>
      <c r="N13" s="12">
        <v>5.0</v>
      </c>
      <c r="O13" s="12">
        <v>5.0</v>
      </c>
      <c r="P13" s="12">
        <v>10.0</v>
      </c>
    </row>
    <row r="14" ht="22.5" customHeight="1">
      <c r="A14" s="11">
        <v>46069.57929927083</v>
      </c>
      <c r="B14" s="12" t="s">
        <v>22</v>
      </c>
      <c r="C14" s="13">
        <v>46069.0</v>
      </c>
      <c r="D14" s="12" t="s">
        <v>29</v>
      </c>
      <c r="E14" s="12" t="s">
        <v>39</v>
      </c>
      <c r="F14" s="12" t="s">
        <v>25</v>
      </c>
      <c r="G14" s="12" t="s">
        <v>40</v>
      </c>
      <c r="H14" s="12">
        <v>5.0</v>
      </c>
      <c r="I14" s="12">
        <v>5.0</v>
      </c>
      <c r="J14" s="12">
        <v>5.0</v>
      </c>
      <c r="K14" s="12">
        <v>5.0</v>
      </c>
      <c r="L14" s="12">
        <v>5.0</v>
      </c>
      <c r="M14" s="12">
        <v>5.0</v>
      </c>
      <c r="N14" s="12">
        <v>5.0</v>
      </c>
      <c r="O14" s="12">
        <v>5.0</v>
      </c>
      <c r="P14" s="12">
        <v>10.0</v>
      </c>
      <c r="Q14" s="12" t="s">
        <v>41</v>
      </c>
      <c r="R14" s="12" t="s">
        <v>41</v>
      </c>
      <c r="S14" s="14"/>
      <c r="T14" s="14"/>
      <c r="U14" s="14"/>
      <c r="V14" s="14"/>
    </row>
    <row r="15" ht="22.5" customHeight="1">
      <c r="A15" s="11">
        <v>46069.58425666667</v>
      </c>
      <c r="B15" s="12" t="s">
        <v>22</v>
      </c>
      <c r="C15" s="13">
        <v>46069.0</v>
      </c>
      <c r="D15" s="12" t="s">
        <v>29</v>
      </c>
      <c r="F15" s="12" t="s">
        <v>30</v>
      </c>
      <c r="G15" s="12" t="s">
        <v>42</v>
      </c>
      <c r="H15" s="12">
        <v>4.0</v>
      </c>
      <c r="I15" s="12">
        <v>4.0</v>
      </c>
      <c r="J15" s="12">
        <v>5.0</v>
      </c>
      <c r="K15" s="12">
        <v>5.0</v>
      </c>
      <c r="L15" s="12">
        <v>5.0</v>
      </c>
      <c r="M15" s="12">
        <v>4.0</v>
      </c>
      <c r="N15" s="12">
        <v>3.0</v>
      </c>
      <c r="O15" s="12">
        <v>4.0</v>
      </c>
      <c r="P15" s="12">
        <v>10.0</v>
      </c>
    </row>
    <row r="16" ht="22.5" customHeight="1">
      <c r="A16" s="11">
        <v>46069.62213231482</v>
      </c>
      <c r="B16" s="12" t="s">
        <v>22</v>
      </c>
      <c r="C16" s="13">
        <v>46069.0</v>
      </c>
      <c r="D16" s="12" t="s">
        <v>29</v>
      </c>
      <c r="E16" s="12">
        <v>3.0</v>
      </c>
      <c r="F16" s="12" t="s">
        <v>30</v>
      </c>
      <c r="G16" s="12" t="s">
        <v>43</v>
      </c>
      <c r="H16" s="12">
        <v>5.0</v>
      </c>
      <c r="I16" s="12">
        <v>5.0</v>
      </c>
      <c r="J16" s="12">
        <v>5.0</v>
      </c>
      <c r="K16" s="12">
        <v>5.0</v>
      </c>
      <c r="L16" s="12">
        <v>4.0</v>
      </c>
      <c r="M16" s="12">
        <v>4.0</v>
      </c>
      <c r="N16" s="12">
        <v>4.0</v>
      </c>
      <c r="O16" s="12">
        <v>4.0</v>
      </c>
      <c r="P16" s="12">
        <v>8.0</v>
      </c>
      <c r="Q16" s="12" t="s">
        <v>44</v>
      </c>
      <c r="R16" s="12" t="s">
        <v>45</v>
      </c>
      <c r="S16" s="14"/>
      <c r="T16" s="14"/>
      <c r="U16" s="14"/>
      <c r="V16" s="14"/>
    </row>
    <row r="17" ht="22.5" customHeight="1">
      <c r="A17" s="11">
        <v>46069.640751099534</v>
      </c>
      <c r="B17" s="12" t="s">
        <v>22</v>
      </c>
      <c r="C17" s="13">
        <v>46069.0</v>
      </c>
      <c r="D17" s="12" t="s">
        <v>29</v>
      </c>
      <c r="E17" s="12" t="s">
        <v>46</v>
      </c>
      <c r="F17" s="12" t="s">
        <v>30</v>
      </c>
      <c r="G17" s="12" t="s">
        <v>43</v>
      </c>
      <c r="H17" s="12">
        <v>4.0</v>
      </c>
      <c r="I17" s="12">
        <v>4.0</v>
      </c>
      <c r="J17" s="12">
        <v>4.0</v>
      </c>
      <c r="K17" s="12">
        <v>4.0</v>
      </c>
      <c r="L17" s="12">
        <v>4.0</v>
      </c>
      <c r="M17" s="12">
        <v>4.0</v>
      </c>
      <c r="N17" s="12">
        <v>4.0</v>
      </c>
      <c r="O17" s="12">
        <v>4.0</v>
      </c>
      <c r="P17" s="12">
        <v>6.0</v>
      </c>
      <c r="Q17" s="12" t="s">
        <v>47</v>
      </c>
      <c r="R17" s="12" t="s">
        <v>48</v>
      </c>
      <c r="S17" s="14"/>
      <c r="T17" s="14"/>
      <c r="U17" s="14"/>
      <c r="V17" s="14"/>
    </row>
    <row r="18" ht="22.5" customHeight="1">
      <c r="A18" s="11">
        <v>46069.75136458334</v>
      </c>
      <c r="B18" s="12" t="s">
        <v>22</v>
      </c>
      <c r="C18" s="13">
        <v>46079.0</v>
      </c>
      <c r="D18" s="12" t="s">
        <v>29</v>
      </c>
      <c r="E18" s="12" t="s">
        <v>49</v>
      </c>
      <c r="F18" s="12" t="s">
        <v>25</v>
      </c>
      <c r="G18" s="12" t="s">
        <v>50</v>
      </c>
      <c r="H18" s="12">
        <v>4.0</v>
      </c>
      <c r="I18" s="12">
        <v>4.0</v>
      </c>
      <c r="J18" s="12">
        <v>4.0</v>
      </c>
      <c r="K18" s="12">
        <v>4.0</v>
      </c>
      <c r="L18" s="12">
        <v>4.0</v>
      </c>
      <c r="M18" s="12">
        <v>4.0</v>
      </c>
      <c r="N18" s="12">
        <v>4.0</v>
      </c>
      <c r="O18" s="12">
        <v>4.0</v>
      </c>
      <c r="P18" s="12">
        <v>10.0</v>
      </c>
      <c r="Q18" s="12" t="s">
        <v>51</v>
      </c>
      <c r="R18" s="12" t="s">
        <v>52</v>
      </c>
      <c r="S18" s="14"/>
      <c r="T18" s="14"/>
      <c r="U18" s="14"/>
      <c r="V18" s="14"/>
    </row>
    <row r="19" ht="22.5" customHeight="1">
      <c r="A19" s="11">
        <v>46069.75778086805</v>
      </c>
      <c r="B19" s="12" t="s">
        <v>22</v>
      </c>
      <c r="C19" s="13">
        <v>46069.0</v>
      </c>
      <c r="D19" s="12" t="s">
        <v>29</v>
      </c>
      <c r="E19" s="12" t="s">
        <v>53</v>
      </c>
      <c r="F19" s="12" t="s">
        <v>25</v>
      </c>
      <c r="G19" s="12" t="s">
        <v>54</v>
      </c>
      <c r="H19" s="12">
        <v>5.0</v>
      </c>
      <c r="I19" s="12">
        <v>4.0</v>
      </c>
      <c r="J19" s="12">
        <v>4.0</v>
      </c>
      <c r="K19" s="12">
        <v>3.0</v>
      </c>
      <c r="L19" s="12">
        <v>3.0</v>
      </c>
      <c r="M19" s="12">
        <v>3.0</v>
      </c>
      <c r="N19" s="12">
        <v>3.0</v>
      </c>
      <c r="O19" s="12">
        <v>4.0</v>
      </c>
      <c r="P19" s="12">
        <v>7.0</v>
      </c>
      <c r="Q19" s="12" t="s">
        <v>55</v>
      </c>
      <c r="R19" s="12" t="s">
        <v>38</v>
      </c>
      <c r="S19" s="14"/>
      <c r="T19" s="14"/>
      <c r="U19" s="14"/>
      <c r="V19" s="14"/>
    </row>
    <row r="20" ht="22.5" customHeight="1">
      <c r="A20" s="11">
        <v>46070.04755824074</v>
      </c>
      <c r="B20" s="12" t="s">
        <v>22</v>
      </c>
      <c r="C20" s="13">
        <v>46070.0</v>
      </c>
      <c r="D20" s="12" t="s">
        <v>29</v>
      </c>
      <c r="E20" s="12" t="s">
        <v>53</v>
      </c>
      <c r="F20" s="12" t="s">
        <v>25</v>
      </c>
      <c r="G20" s="12" t="s">
        <v>54</v>
      </c>
      <c r="H20" s="12">
        <v>5.0</v>
      </c>
      <c r="I20" s="12">
        <v>5.0</v>
      </c>
      <c r="J20" s="12">
        <v>5.0</v>
      </c>
      <c r="K20" s="12">
        <v>5.0</v>
      </c>
      <c r="L20" s="12">
        <v>5.0</v>
      </c>
      <c r="M20" s="12">
        <v>5.0</v>
      </c>
      <c r="N20" s="12">
        <v>5.0</v>
      </c>
      <c r="O20" s="12">
        <v>5.0</v>
      </c>
      <c r="P20" s="12">
        <v>9.0</v>
      </c>
    </row>
    <row r="21" ht="22.5" customHeight="1">
      <c r="A21" s="11">
        <v>46070.87920946759</v>
      </c>
      <c r="B21" s="12" t="s">
        <v>22</v>
      </c>
      <c r="C21" s="13">
        <v>46070.0</v>
      </c>
      <c r="D21" s="12" t="s">
        <v>29</v>
      </c>
      <c r="E21" s="12" t="s">
        <v>56</v>
      </c>
      <c r="F21" s="12" t="s">
        <v>25</v>
      </c>
      <c r="G21" s="12" t="s">
        <v>26</v>
      </c>
      <c r="H21" s="12">
        <v>5.0</v>
      </c>
      <c r="I21" s="12">
        <v>5.0</v>
      </c>
      <c r="J21" s="12">
        <v>4.0</v>
      </c>
      <c r="K21" s="12">
        <v>4.0</v>
      </c>
      <c r="L21" s="12">
        <v>2.0</v>
      </c>
      <c r="M21" s="12">
        <v>3.0</v>
      </c>
      <c r="N21" s="12">
        <v>3.0</v>
      </c>
      <c r="O21" s="12">
        <v>3.0</v>
      </c>
      <c r="P21" s="12">
        <v>10.0</v>
      </c>
    </row>
    <row r="22" ht="22.5" customHeight="1">
      <c r="A22" s="11">
        <v>46070.88057616898</v>
      </c>
      <c r="B22" s="12" t="s">
        <v>22</v>
      </c>
      <c r="C22" s="13">
        <v>46070.0</v>
      </c>
      <c r="D22" s="12" t="s">
        <v>29</v>
      </c>
      <c r="E22" s="12" t="s">
        <v>41</v>
      </c>
      <c r="F22" s="12" t="s">
        <v>25</v>
      </c>
      <c r="G22" s="12" t="s">
        <v>57</v>
      </c>
      <c r="H22" s="12">
        <v>5.0</v>
      </c>
      <c r="I22" s="12">
        <v>4.0</v>
      </c>
      <c r="J22" s="12">
        <v>4.0</v>
      </c>
      <c r="K22" s="12">
        <v>5.0</v>
      </c>
      <c r="L22" s="12">
        <v>5.0</v>
      </c>
      <c r="M22" s="12">
        <v>4.0</v>
      </c>
      <c r="N22" s="12">
        <v>3.0</v>
      </c>
      <c r="O22" s="12">
        <v>3.0</v>
      </c>
      <c r="P22" s="12">
        <v>7.0</v>
      </c>
    </row>
    <row r="23" ht="22.5" customHeight="1">
      <c r="A23" s="11">
        <v>46070.884108171296</v>
      </c>
      <c r="B23" s="12" t="s">
        <v>22</v>
      </c>
      <c r="C23" s="13">
        <v>46070.0</v>
      </c>
      <c r="D23" s="12" t="s">
        <v>29</v>
      </c>
      <c r="E23" s="12" t="s">
        <v>58</v>
      </c>
      <c r="F23" s="12" t="s">
        <v>25</v>
      </c>
      <c r="G23" s="12" t="s">
        <v>43</v>
      </c>
      <c r="H23" s="12">
        <v>2.0</v>
      </c>
      <c r="I23" s="12">
        <v>2.0</v>
      </c>
      <c r="J23" s="12">
        <v>3.0</v>
      </c>
      <c r="K23" s="12">
        <v>2.0</v>
      </c>
      <c r="L23" s="12">
        <v>2.0</v>
      </c>
      <c r="M23" s="12">
        <v>2.0</v>
      </c>
      <c r="N23" s="12">
        <v>3.0</v>
      </c>
      <c r="O23" s="12">
        <v>2.0</v>
      </c>
      <c r="P23" s="12">
        <v>6.0</v>
      </c>
      <c r="Q23" s="12" t="s">
        <v>59</v>
      </c>
      <c r="R23" s="12" t="s">
        <v>60</v>
      </c>
      <c r="S23" s="14"/>
      <c r="T23" s="14"/>
      <c r="U23" s="14"/>
      <c r="V23" s="14"/>
    </row>
    <row r="24" ht="22.5" customHeight="1">
      <c r="A24" s="11">
        <v>46070.888025416665</v>
      </c>
      <c r="B24" s="12" t="s">
        <v>22</v>
      </c>
      <c r="C24" s="13">
        <v>46070.0</v>
      </c>
      <c r="D24" s="12" t="s">
        <v>29</v>
      </c>
      <c r="E24" s="12" t="s">
        <v>61</v>
      </c>
      <c r="F24" s="12" t="s">
        <v>30</v>
      </c>
      <c r="G24" s="12" t="s">
        <v>62</v>
      </c>
      <c r="H24" s="12">
        <v>2.0</v>
      </c>
      <c r="I24" s="12">
        <v>2.0</v>
      </c>
      <c r="J24" s="12">
        <v>2.0</v>
      </c>
      <c r="K24" s="12">
        <v>2.0</v>
      </c>
      <c r="L24" s="12">
        <v>2.0</v>
      </c>
      <c r="M24" s="12">
        <v>2.0</v>
      </c>
      <c r="N24" s="12">
        <v>2.0</v>
      </c>
      <c r="O24" s="12">
        <v>2.0</v>
      </c>
      <c r="P24" s="12">
        <v>2.0</v>
      </c>
      <c r="Q24" s="12" t="s">
        <v>41</v>
      </c>
      <c r="R24" s="12" t="s">
        <v>41</v>
      </c>
      <c r="S24" s="14"/>
      <c r="T24" s="14"/>
      <c r="U24" s="14"/>
      <c r="V24" s="14"/>
    </row>
    <row r="25" ht="22.5" customHeight="1">
      <c r="A25" s="11">
        <v>46070.88828864583</v>
      </c>
      <c r="B25" s="12" t="s">
        <v>22</v>
      </c>
      <c r="C25" s="13">
        <v>46070.0</v>
      </c>
      <c r="D25" s="12" t="s">
        <v>29</v>
      </c>
      <c r="E25" s="12" t="s">
        <v>63</v>
      </c>
      <c r="F25" s="12" t="s">
        <v>30</v>
      </c>
      <c r="G25" s="12" t="s">
        <v>57</v>
      </c>
      <c r="H25" s="12">
        <v>4.0</v>
      </c>
      <c r="I25" s="12">
        <v>3.0</v>
      </c>
      <c r="J25" s="12">
        <v>4.0</v>
      </c>
      <c r="K25" s="12">
        <v>3.0</v>
      </c>
      <c r="L25" s="12">
        <v>3.0</v>
      </c>
      <c r="M25" s="12">
        <v>3.0</v>
      </c>
      <c r="N25" s="12">
        <v>3.0</v>
      </c>
      <c r="O25" s="12">
        <v>4.0</v>
      </c>
      <c r="P25" s="12">
        <v>7.0</v>
      </c>
      <c r="Q25" s="12" t="s">
        <v>64</v>
      </c>
      <c r="R25" s="12" t="s">
        <v>65</v>
      </c>
      <c r="S25" s="14"/>
      <c r="T25" s="14"/>
      <c r="U25" s="14"/>
      <c r="V25" s="14"/>
    </row>
    <row r="26" ht="22.5" customHeight="1">
      <c r="A26" s="11">
        <v>46070.88919290509</v>
      </c>
      <c r="B26" s="12" t="s">
        <v>22</v>
      </c>
      <c r="C26" s="13">
        <v>46070.0</v>
      </c>
      <c r="D26" s="12" t="s">
        <v>29</v>
      </c>
      <c r="F26" s="12" t="s">
        <v>30</v>
      </c>
      <c r="G26" s="12" t="s">
        <v>26</v>
      </c>
      <c r="H26" s="12">
        <v>4.0</v>
      </c>
      <c r="I26" s="12">
        <v>3.0</v>
      </c>
      <c r="J26" s="12">
        <v>4.0</v>
      </c>
      <c r="K26" s="12">
        <v>3.0</v>
      </c>
      <c r="L26" s="12">
        <v>3.0</v>
      </c>
      <c r="M26" s="12">
        <v>4.0</v>
      </c>
      <c r="N26" s="12">
        <v>2.0</v>
      </c>
      <c r="O26" s="12">
        <v>5.0</v>
      </c>
      <c r="P26" s="12">
        <v>10.0</v>
      </c>
      <c r="Q26" s="12" t="s">
        <v>44</v>
      </c>
      <c r="R26" s="12" t="s">
        <v>66</v>
      </c>
      <c r="S26" s="14"/>
      <c r="T26" s="14"/>
      <c r="U26" s="14"/>
      <c r="V26" s="14"/>
    </row>
    <row r="27" ht="22.5" customHeight="1">
      <c r="A27" s="11">
        <v>46070.893235219904</v>
      </c>
      <c r="B27" s="12" t="s">
        <v>22</v>
      </c>
      <c r="C27" s="13">
        <v>46070.0</v>
      </c>
      <c r="D27" s="12" t="s">
        <v>29</v>
      </c>
      <c r="E27" s="12" t="s">
        <v>67</v>
      </c>
      <c r="F27" s="12" t="s">
        <v>68</v>
      </c>
      <c r="G27" s="12" t="s">
        <v>69</v>
      </c>
      <c r="H27" s="12">
        <v>5.0</v>
      </c>
      <c r="I27" s="12">
        <v>5.0</v>
      </c>
      <c r="J27" s="12">
        <v>5.0</v>
      </c>
      <c r="K27" s="12">
        <v>5.0</v>
      </c>
      <c r="L27" s="12">
        <v>5.0</v>
      </c>
      <c r="M27" s="12">
        <v>5.0</v>
      </c>
      <c r="N27" s="12">
        <v>5.0</v>
      </c>
      <c r="O27" s="12">
        <v>5.0</v>
      </c>
      <c r="P27" s="12">
        <v>10.0</v>
      </c>
    </row>
    <row r="28" ht="22.5" customHeight="1">
      <c r="A28" s="11">
        <v>46070.89536663194</v>
      </c>
      <c r="B28" s="12" t="s">
        <v>22</v>
      </c>
      <c r="C28" s="13">
        <v>46070.0</v>
      </c>
      <c r="D28" s="12" t="s">
        <v>29</v>
      </c>
      <c r="F28" s="12" t="s">
        <v>30</v>
      </c>
      <c r="G28" s="12" t="s">
        <v>69</v>
      </c>
      <c r="H28" s="12">
        <v>5.0</v>
      </c>
      <c r="I28" s="12">
        <v>5.0</v>
      </c>
      <c r="J28" s="12">
        <v>5.0</v>
      </c>
      <c r="K28" s="12">
        <v>5.0</v>
      </c>
      <c r="L28" s="12">
        <v>5.0</v>
      </c>
      <c r="M28" s="12">
        <v>5.0</v>
      </c>
      <c r="N28" s="12">
        <v>5.0</v>
      </c>
      <c r="O28" s="12">
        <v>5.0</v>
      </c>
      <c r="P28" s="12">
        <v>10.0</v>
      </c>
      <c r="Q28" s="12" t="s">
        <v>70</v>
      </c>
    </row>
    <row r="29" ht="22.5" customHeight="1">
      <c r="A29" s="11">
        <v>46070.89794896991</v>
      </c>
      <c r="B29" s="12" t="s">
        <v>22</v>
      </c>
      <c r="C29" s="13">
        <v>46070.0</v>
      </c>
      <c r="D29" s="12" t="s">
        <v>29</v>
      </c>
      <c r="F29" s="12" t="s">
        <v>30</v>
      </c>
      <c r="G29" s="12" t="s">
        <v>26</v>
      </c>
      <c r="H29" s="12">
        <v>4.0</v>
      </c>
      <c r="I29" s="12">
        <v>4.0</v>
      </c>
      <c r="J29" s="12">
        <v>5.0</v>
      </c>
      <c r="K29" s="12">
        <v>4.0</v>
      </c>
      <c r="L29" s="12">
        <v>5.0</v>
      </c>
      <c r="M29" s="12">
        <v>4.0</v>
      </c>
      <c r="N29" s="12">
        <v>4.0</v>
      </c>
      <c r="O29" s="12">
        <v>5.0</v>
      </c>
      <c r="P29" s="12">
        <v>9.0</v>
      </c>
      <c r="Q29" s="12" t="s">
        <v>71</v>
      </c>
      <c r="R29" s="12" t="s">
        <v>71</v>
      </c>
      <c r="S29" s="14"/>
      <c r="T29" s="14"/>
      <c r="U29" s="14"/>
      <c r="V29" s="14"/>
    </row>
    <row r="30" ht="22.5" customHeight="1">
      <c r="A30" s="11">
        <v>46070.89815946759</v>
      </c>
      <c r="B30" s="12" t="s">
        <v>22</v>
      </c>
      <c r="C30" s="13">
        <v>46070.0</v>
      </c>
      <c r="D30" s="12" t="s">
        <v>29</v>
      </c>
      <c r="F30" s="12" t="s">
        <v>30</v>
      </c>
      <c r="G30" s="12" t="s">
        <v>43</v>
      </c>
      <c r="H30" s="12">
        <v>5.0</v>
      </c>
      <c r="I30" s="12">
        <v>5.0</v>
      </c>
      <c r="J30" s="12">
        <v>5.0</v>
      </c>
      <c r="K30" s="12">
        <v>5.0</v>
      </c>
      <c r="L30" s="12">
        <v>5.0</v>
      </c>
      <c r="M30" s="12">
        <v>5.0</v>
      </c>
      <c r="N30" s="12">
        <v>5.0</v>
      </c>
      <c r="O30" s="12">
        <v>5.0</v>
      </c>
      <c r="P30" s="12">
        <v>10.0</v>
      </c>
      <c r="Q30" s="12" t="s">
        <v>44</v>
      </c>
      <c r="R30" s="12" t="s">
        <v>71</v>
      </c>
      <c r="S30" s="14"/>
      <c r="T30" s="14"/>
      <c r="U30" s="14"/>
      <c r="V30" s="14"/>
    </row>
    <row r="31" ht="22.5" customHeight="1">
      <c r="A31" s="11">
        <v>46070.898524317134</v>
      </c>
      <c r="B31" s="12" t="s">
        <v>22</v>
      </c>
      <c r="C31" s="13">
        <v>46070.0</v>
      </c>
      <c r="D31" s="12" t="s">
        <v>29</v>
      </c>
      <c r="F31" s="12" t="s">
        <v>30</v>
      </c>
      <c r="G31" s="12" t="s">
        <v>26</v>
      </c>
      <c r="H31" s="12">
        <v>4.0</v>
      </c>
      <c r="I31" s="12">
        <v>4.0</v>
      </c>
      <c r="J31" s="12">
        <v>4.0</v>
      </c>
      <c r="K31" s="12">
        <v>4.0</v>
      </c>
      <c r="L31" s="12">
        <v>3.0</v>
      </c>
      <c r="M31" s="12">
        <v>4.0</v>
      </c>
      <c r="N31" s="12">
        <v>4.0</v>
      </c>
      <c r="O31" s="12">
        <v>4.0</v>
      </c>
      <c r="P31" s="12">
        <v>9.0</v>
      </c>
    </row>
    <row r="32" ht="22.5" customHeight="1">
      <c r="A32" s="11">
        <v>46070.92907436343</v>
      </c>
      <c r="B32" s="12" t="s">
        <v>22</v>
      </c>
      <c r="C32" s="13">
        <v>46070.0</v>
      </c>
      <c r="D32" s="12" t="s">
        <v>29</v>
      </c>
      <c r="F32" s="12" t="s">
        <v>30</v>
      </c>
      <c r="G32" s="12" t="s">
        <v>72</v>
      </c>
      <c r="H32" s="12">
        <v>4.0</v>
      </c>
      <c r="I32" s="12">
        <v>4.0</v>
      </c>
      <c r="J32" s="12">
        <v>4.0</v>
      </c>
      <c r="K32" s="12">
        <v>4.0</v>
      </c>
      <c r="L32" s="12">
        <v>4.0</v>
      </c>
      <c r="M32" s="12">
        <v>4.0</v>
      </c>
      <c r="N32" s="12">
        <v>4.0</v>
      </c>
      <c r="O32" s="12">
        <v>4.0</v>
      </c>
      <c r="P32" s="12">
        <v>7.0</v>
      </c>
    </row>
    <row r="33" ht="22.5" customHeight="1">
      <c r="A33" s="11">
        <v>46071.35523274305</v>
      </c>
      <c r="B33" s="12" t="s">
        <v>22</v>
      </c>
      <c r="C33" s="13">
        <v>39142.0</v>
      </c>
      <c r="D33" s="12" t="s">
        <v>29</v>
      </c>
      <c r="F33" s="12" t="s">
        <v>30</v>
      </c>
      <c r="G33" s="12" t="s">
        <v>57</v>
      </c>
      <c r="H33" s="12">
        <v>4.0</v>
      </c>
      <c r="I33" s="12">
        <v>4.0</v>
      </c>
      <c r="J33" s="12">
        <v>4.0</v>
      </c>
      <c r="K33" s="12">
        <v>4.0</v>
      </c>
      <c r="L33" s="12">
        <v>4.0</v>
      </c>
      <c r="M33" s="12">
        <v>4.0</v>
      </c>
      <c r="N33" s="12">
        <v>4.0</v>
      </c>
      <c r="O33" s="12">
        <v>4.0</v>
      </c>
      <c r="P33" s="12">
        <v>9.0</v>
      </c>
      <c r="Q33" s="12" t="s">
        <v>38</v>
      </c>
      <c r="R33" s="12" t="s">
        <v>38</v>
      </c>
      <c r="S33" s="14"/>
      <c r="T33" s="14"/>
      <c r="U33" s="14"/>
      <c r="V33" s="14"/>
    </row>
    <row r="34" ht="22.5" customHeight="1">
      <c r="A34" s="11">
        <v>46071.450125787036</v>
      </c>
      <c r="B34" s="12" t="s">
        <v>22</v>
      </c>
      <c r="C34" s="13">
        <v>46071.0</v>
      </c>
      <c r="D34" s="12" t="s">
        <v>29</v>
      </c>
      <c r="F34" s="12" t="s">
        <v>25</v>
      </c>
      <c r="G34" s="12" t="s">
        <v>26</v>
      </c>
      <c r="H34" s="12">
        <v>5.0</v>
      </c>
      <c r="I34" s="12">
        <v>5.0</v>
      </c>
      <c r="J34" s="12">
        <v>5.0</v>
      </c>
      <c r="K34" s="12">
        <v>5.0</v>
      </c>
      <c r="L34" s="12">
        <v>5.0</v>
      </c>
      <c r="M34" s="12">
        <v>5.0</v>
      </c>
      <c r="N34" s="12">
        <v>5.0</v>
      </c>
      <c r="O34" s="12">
        <v>5.0</v>
      </c>
      <c r="P34" s="12">
        <v>10.0</v>
      </c>
      <c r="Q34" s="12" t="s">
        <v>73</v>
      </c>
    </row>
    <row r="35" ht="22.5" customHeight="1">
      <c r="A35" s="11">
        <v>46071.45026063657</v>
      </c>
      <c r="B35" s="12" t="s">
        <v>22</v>
      </c>
      <c r="C35" s="13">
        <v>46071.0</v>
      </c>
      <c r="D35" s="12" t="s">
        <v>29</v>
      </c>
      <c r="F35" s="12" t="s">
        <v>30</v>
      </c>
      <c r="G35" s="12" t="s">
        <v>57</v>
      </c>
      <c r="H35" s="12">
        <v>3.0</v>
      </c>
      <c r="I35" s="12">
        <v>3.0</v>
      </c>
      <c r="J35" s="12">
        <v>2.0</v>
      </c>
      <c r="K35" s="12">
        <v>2.0</v>
      </c>
      <c r="L35" s="12">
        <v>3.0</v>
      </c>
      <c r="M35" s="12">
        <v>5.0</v>
      </c>
      <c r="N35" s="12">
        <v>5.0</v>
      </c>
      <c r="O35" s="12">
        <v>5.0</v>
      </c>
      <c r="P35" s="12">
        <v>2.0</v>
      </c>
      <c r="Q35" s="12" t="s">
        <v>74</v>
      </c>
      <c r="R35" s="12" t="s">
        <v>74</v>
      </c>
      <c r="S35" s="14"/>
      <c r="T35" s="14"/>
      <c r="U35" s="14"/>
      <c r="V35" s="14"/>
    </row>
    <row r="36" ht="22.5" customHeight="1">
      <c r="A36" s="11">
        <v>46071.45078997685</v>
      </c>
      <c r="B36" s="12" t="s">
        <v>22</v>
      </c>
      <c r="C36" s="13">
        <v>46071.0</v>
      </c>
      <c r="D36" s="12" t="s">
        <v>29</v>
      </c>
      <c r="E36" s="12" t="s">
        <v>46</v>
      </c>
      <c r="F36" s="12" t="s">
        <v>30</v>
      </c>
      <c r="G36" s="12" t="s">
        <v>26</v>
      </c>
      <c r="H36" s="12">
        <v>5.0</v>
      </c>
      <c r="I36" s="12">
        <v>4.0</v>
      </c>
      <c r="J36" s="12">
        <v>4.0</v>
      </c>
      <c r="K36" s="12">
        <v>3.0</v>
      </c>
      <c r="L36" s="12">
        <v>4.0</v>
      </c>
      <c r="M36" s="12">
        <v>4.0</v>
      </c>
      <c r="N36" s="12">
        <v>4.0</v>
      </c>
      <c r="O36" s="12">
        <v>4.0</v>
      </c>
      <c r="P36" s="12">
        <v>9.0</v>
      </c>
      <c r="Q36" s="12" t="s">
        <v>75</v>
      </c>
      <c r="R36" s="12" t="s">
        <v>76</v>
      </c>
      <c r="S36" s="14"/>
      <c r="T36" s="14"/>
      <c r="U36" s="14"/>
      <c r="V36" s="14"/>
    </row>
    <row r="37" ht="22.5" customHeight="1">
      <c r="A37" s="11">
        <v>46071.45190659723</v>
      </c>
      <c r="B37" s="12" t="s">
        <v>22</v>
      </c>
      <c r="C37" s="13">
        <v>46071.0</v>
      </c>
      <c r="D37" s="12" t="s">
        <v>29</v>
      </c>
      <c r="F37" s="12" t="s">
        <v>30</v>
      </c>
      <c r="G37" s="12" t="s">
        <v>69</v>
      </c>
      <c r="H37" s="12">
        <v>4.0</v>
      </c>
      <c r="I37" s="12">
        <v>3.0</v>
      </c>
      <c r="J37" s="12">
        <v>3.0</v>
      </c>
      <c r="K37" s="12">
        <v>4.0</v>
      </c>
      <c r="L37" s="12">
        <v>4.0</v>
      </c>
      <c r="M37" s="12">
        <v>4.0</v>
      </c>
      <c r="N37" s="12">
        <v>4.0</v>
      </c>
      <c r="O37" s="12">
        <v>4.0</v>
      </c>
      <c r="P37" s="12">
        <v>8.0</v>
      </c>
    </row>
    <row r="38" ht="22.5" customHeight="1">
      <c r="A38" s="11">
        <v>46071.45566761574</v>
      </c>
      <c r="B38" s="12" t="s">
        <v>22</v>
      </c>
      <c r="C38" s="13">
        <v>46071.0</v>
      </c>
      <c r="D38" s="12" t="s">
        <v>29</v>
      </c>
      <c r="F38" s="12" t="s">
        <v>30</v>
      </c>
      <c r="G38" s="12" t="s">
        <v>43</v>
      </c>
      <c r="H38" s="12">
        <v>3.0</v>
      </c>
      <c r="I38" s="12">
        <v>4.0</v>
      </c>
      <c r="J38" s="12">
        <v>2.0</v>
      </c>
      <c r="K38" s="12">
        <v>3.0</v>
      </c>
      <c r="L38" s="12">
        <v>1.0</v>
      </c>
      <c r="M38" s="12">
        <v>2.0</v>
      </c>
      <c r="N38" s="12">
        <v>4.0</v>
      </c>
      <c r="O38" s="12">
        <v>3.0</v>
      </c>
      <c r="P38" s="12">
        <v>5.0</v>
      </c>
      <c r="Q38" s="12" t="s">
        <v>77</v>
      </c>
      <c r="R38" s="12" t="s">
        <v>78</v>
      </c>
      <c r="S38" s="14"/>
      <c r="T38" s="14"/>
      <c r="U38" s="14"/>
      <c r="V38" s="14"/>
    </row>
    <row r="39" ht="22.5" customHeight="1">
      <c r="A39" s="11">
        <v>46071.45935682871</v>
      </c>
      <c r="B39" s="12" t="s">
        <v>22</v>
      </c>
      <c r="C39" s="13">
        <v>46071.0</v>
      </c>
      <c r="D39" s="12" t="s">
        <v>29</v>
      </c>
      <c r="F39" s="12" t="s">
        <v>30</v>
      </c>
      <c r="G39" s="12" t="s">
        <v>62</v>
      </c>
      <c r="H39" s="12">
        <v>3.0</v>
      </c>
      <c r="I39" s="12">
        <v>3.0</v>
      </c>
      <c r="J39" s="12">
        <v>5.0</v>
      </c>
      <c r="K39" s="12">
        <v>4.0</v>
      </c>
      <c r="L39" s="12">
        <v>3.0</v>
      </c>
      <c r="M39" s="12">
        <v>4.0</v>
      </c>
      <c r="N39" s="12">
        <v>5.0</v>
      </c>
      <c r="O39" s="12">
        <v>5.0</v>
      </c>
      <c r="P39" s="12">
        <v>9.0</v>
      </c>
      <c r="Q39" s="12" t="s">
        <v>79</v>
      </c>
      <c r="R39" s="12" t="s">
        <v>80</v>
      </c>
      <c r="S39" s="14"/>
      <c r="T39" s="14"/>
      <c r="U39" s="14"/>
      <c r="V39" s="14"/>
    </row>
    <row r="40" ht="22.5" customHeight="1">
      <c r="A40" s="11">
        <v>46071.46293537037</v>
      </c>
      <c r="B40" s="12" t="s">
        <v>22</v>
      </c>
      <c r="C40" s="13">
        <v>46071.0</v>
      </c>
      <c r="D40" s="12" t="s">
        <v>29</v>
      </c>
      <c r="F40" s="12" t="s">
        <v>30</v>
      </c>
      <c r="G40" s="12" t="s">
        <v>69</v>
      </c>
      <c r="H40" s="12">
        <v>5.0</v>
      </c>
      <c r="I40" s="12">
        <v>5.0</v>
      </c>
      <c r="J40" s="12">
        <v>5.0</v>
      </c>
      <c r="K40" s="12">
        <v>5.0</v>
      </c>
      <c r="L40" s="12">
        <v>5.0</v>
      </c>
      <c r="M40" s="12">
        <v>5.0</v>
      </c>
      <c r="N40" s="12">
        <v>5.0</v>
      </c>
      <c r="O40" s="12">
        <v>5.0</v>
      </c>
      <c r="P40" s="12">
        <v>10.0</v>
      </c>
      <c r="Q40" s="12" t="s">
        <v>81</v>
      </c>
      <c r="R40" s="12" t="s">
        <v>71</v>
      </c>
      <c r="S40" s="14"/>
      <c r="T40" s="14"/>
      <c r="U40" s="14"/>
      <c r="V40" s="14"/>
    </row>
    <row r="41" ht="22.5" customHeight="1">
      <c r="A41" s="11">
        <v>46071.464627719906</v>
      </c>
      <c r="B41" s="12" t="s">
        <v>22</v>
      </c>
      <c r="C41" s="13">
        <v>46071.0</v>
      </c>
      <c r="D41" s="12" t="s">
        <v>29</v>
      </c>
      <c r="E41" s="12" t="s">
        <v>82</v>
      </c>
      <c r="F41" s="12" t="s">
        <v>30</v>
      </c>
      <c r="G41" s="12" t="s">
        <v>26</v>
      </c>
      <c r="H41" s="12">
        <v>4.0</v>
      </c>
      <c r="I41" s="12">
        <v>4.0</v>
      </c>
      <c r="J41" s="12">
        <v>4.0</v>
      </c>
      <c r="K41" s="12">
        <v>4.0</v>
      </c>
      <c r="L41" s="12">
        <v>4.0</v>
      </c>
      <c r="M41" s="12">
        <v>4.0</v>
      </c>
      <c r="N41" s="12">
        <v>4.0</v>
      </c>
      <c r="O41" s="12">
        <v>4.0</v>
      </c>
      <c r="P41" s="12">
        <v>9.0</v>
      </c>
      <c r="Q41" s="12" t="s">
        <v>83</v>
      </c>
      <c r="R41" s="12" t="s">
        <v>84</v>
      </c>
      <c r="S41" s="14"/>
      <c r="T41" s="14"/>
      <c r="U41" s="14"/>
      <c r="V41" s="14"/>
    </row>
    <row r="42" ht="22.5" customHeight="1">
      <c r="A42" s="11">
        <v>46071.47561620371</v>
      </c>
      <c r="B42" s="12" t="s">
        <v>22</v>
      </c>
      <c r="C42" s="13">
        <v>46071.0</v>
      </c>
      <c r="D42" s="12" t="s">
        <v>29</v>
      </c>
      <c r="E42" s="12" t="s">
        <v>85</v>
      </c>
      <c r="F42" s="12" t="s">
        <v>25</v>
      </c>
      <c r="G42" s="12" t="s">
        <v>26</v>
      </c>
      <c r="H42" s="12">
        <v>5.0</v>
      </c>
      <c r="I42" s="12">
        <v>5.0</v>
      </c>
      <c r="J42" s="12">
        <v>5.0</v>
      </c>
      <c r="K42" s="12">
        <v>5.0</v>
      </c>
      <c r="L42" s="12">
        <v>5.0</v>
      </c>
      <c r="M42" s="12">
        <v>5.0</v>
      </c>
      <c r="N42" s="12">
        <v>5.0</v>
      </c>
      <c r="O42" s="12">
        <v>5.0</v>
      </c>
      <c r="P42" s="12">
        <v>10.0</v>
      </c>
      <c r="Q42" s="12" t="s">
        <v>41</v>
      </c>
      <c r="R42" s="12" t="s">
        <v>41</v>
      </c>
      <c r="S42" s="14"/>
      <c r="T42" s="14"/>
      <c r="U42" s="14"/>
      <c r="V42" s="14"/>
    </row>
    <row r="43" ht="22.5" customHeight="1">
      <c r="A43" s="11">
        <v>46071.51393594907</v>
      </c>
      <c r="B43" s="12" t="s">
        <v>22</v>
      </c>
      <c r="C43" s="13">
        <v>46071.0</v>
      </c>
      <c r="D43" s="12" t="s">
        <v>29</v>
      </c>
      <c r="F43" s="12" t="s">
        <v>25</v>
      </c>
      <c r="G43" s="12" t="s">
        <v>43</v>
      </c>
      <c r="H43" s="12">
        <v>5.0</v>
      </c>
      <c r="I43" s="12">
        <v>5.0</v>
      </c>
      <c r="J43" s="12">
        <v>5.0</v>
      </c>
      <c r="K43" s="12">
        <v>5.0</v>
      </c>
      <c r="L43" s="12">
        <v>5.0</v>
      </c>
      <c r="M43" s="12">
        <v>5.0</v>
      </c>
      <c r="N43" s="12">
        <v>5.0</v>
      </c>
      <c r="O43" s="12">
        <v>5.0</v>
      </c>
      <c r="P43" s="12">
        <v>10.0</v>
      </c>
    </row>
    <row r="44" ht="22.5" customHeight="1">
      <c r="A44" s="11">
        <v>46071.762577430556</v>
      </c>
      <c r="B44" s="12" t="s">
        <v>22</v>
      </c>
      <c r="C44" s="13">
        <v>46071.0</v>
      </c>
      <c r="D44" s="12" t="s">
        <v>29</v>
      </c>
      <c r="E44" s="12" t="s">
        <v>85</v>
      </c>
      <c r="F44" s="12" t="s">
        <v>25</v>
      </c>
      <c r="G44" s="12" t="s">
        <v>26</v>
      </c>
      <c r="H44" s="12">
        <v>3.0</v>
      </c>
      <c r="I44" s="12">
        <v>3.0</v>
      </c>
      <c r="J44" s="12">
        <v>3.0</v>
      </c>
      <c r="K44" s="12">
        <v>3.0</v>
      </c>
      <c r="L44" s="12">
        <v>3.0</v>
      </c>
      <c r="M44" s="12">
        <v>3.0</v>
      </c>
      <c r="N44" s="12">
        <v>3.0</v>
      </c>
      <c r="O44" s="12">
        <v>3.0</v>
      </c>
      <c r="P44" s="12">
        <v>5.0</v>
      </c>
    </row>
    <row r="45" ht="22.5" customHeight="1">
      <c r="A45" s="11">
        <v>46071.80400282408</v>
      </c>
      <c r="B45" s="12" t="s">
        <v>22</v>
      </c>
      <c r="C45" s="13">
        <v>46070.0</v>
      </c>
      <c r="D45" s="12" t="s">
        <v>29</v>
      </c>
      <c r="F45" s="12" t="s">
        <v>30</v>
      </c>
      <c r="G45" s="12" t="s">
        <v>26</v>
      </c>
      <c r="H45" s="12">
        <v>4.0</v>
      </c>
      <c r="I45" s="12">
        <v>4.0</v>
      </c>
      <c r="J45" s="12">
        <v>3.0</v>
      </c>
      <c r="K45" s="12">
        <v>4.0</v>
      </c>
      <c r="L45" s="12">
        <v>4.0</v>
      </c>
      <c r="M45" s="12">
        <v>4.0</v>
      </c>
      <c r="N45" s="12">
        <v>3.0</v>
      </c>
      <c r="O45" s="12">
        <v>4.0</v>
      </c>
      <c r="P45" s="12">
        <v>9.0</v>
      </c>
    </row>
    <row r="46" ht="22.5" customHeight="1">
      <c r="A46" s="11">
        <v>46071.845780601856</v>
      </c>
      <c r="B46" s="12" t="s">
        <v>22</v>
      </c>
      <c r="C46" s="13">
        <v>46071.0</v>
      </c>
      <c r="D46" s="12" t="s">
        <v>29</v>
      </c>
      <c r="F46" s="12" t="s">
        <v>25</v>
      </c>
      <c r="G46" s="12" t="s">
        <v>69</v>
      </c>
      <c r="H46" s="12">
        <v>5.0</v>
      </c>
      <c r="I46" s="12">
        <v>5.0</v>
      </c>
      <c r="J46" s="12">
        <v>5.0</v>
      </c>
      <c r="K46" s="12">
        <v>5.0</v>
      </c>
      <c r="L46" s="12">
        <v>5.0</v>
      </c>
      <c r="M46" s="12">
        <v>5.0</v>
      </c>
      <c r="N46" s="12">
        <v>5.0</v>
      </c>
      <c r="O46" s="12">
        <v>5.0</v>
      </c>
      <c r="P46" s="12">
        <v>8.0</v>
      </c>
    </row>
    <row r="47" ht="22.5" customHeight="1">
      <c r="A47" s="11">
        <v>46072.42424313657</v>
      </c>
      <c r="B47" s="12" t="s">
        <v>22</v>
      </c>
      <c r="C47" s="13">
        <v>46072.0</v>
      </c>
      <c r="D47" s="12" t="s">
        <v>29</v>
      </c>
      <c r="F47" s="12" t="s">
        <v>30</v>
      </c>
      <c r="G47" s="12" t="s">
        <v>26</v>
      </c>
      <c r="H47" s="12">
        <v>3.0</v>
      </c>
      <c r="I47" s="12">
        <v>4.0</v>
      </c>
      <c r="J47" s="12">
        <v>4.0</v>
      </c>
      <c r="K47" s="12">
        <v>4.0</v>
      </c>
      <c r="L47" s="12">
        <v>4.0</v>
      </c>
      <c r="M47" s="12">
        <v>4.0</v>
      </c>
      <c r="N47" s="12">
        <v>4.0</v>
      </c>
      <c r="O47" s="12">
        <v>4.0</v>
      </c>
      <c r="P47" s="12">
        <v>6.0</v>
      </c>
    </row>
    <row r="48" ht="22.5" customHeight="1">
      <c r="A48" s="11">
        <v>46072.65663224537</v>
      </c>
      <c r="B48" s="12" t="s">
        <v>22</v>
      </c>
      <c r="C48" s="13">
        <v>46072.0</v>
      </c>
      <c r="D48" s="12" t="s">
        <v>29</v>
      </c>
      <c r="E48" s="12" t="s">
        <v>86</v>
      </c>
      <c r="F48" s="12" t="s">
        <v>25</v>
      </c>
      <c r="G48" s="12" t="s">
        <v>26</v>
      </c>
      <c r="H48" s="12">
        <v>5.0</v>
      </c>
      <c r="I48" s="12">
        <v>5.0</v>
      </c>
      <c r="J48" s="12">
        <v>5.0</v>
      </c>
      <c r="K48" s="12">
        <v>5.0</v>
      </c>
      <c r="L48" s="12">
        <v>5.0</v>
      </c>
      <c r="M48" s="12">
        <v>5.0</v>
      </c>
      <c r="N48" s="12">
        <v>5.0</v>
      </c>
      <c r="O48" s="12">
        <v>5.0</v>
      </c>
      <c r="P48" s="12">
        <v>10.0</v>
      </c>
      <c r="Q48" s="12" t="s">
        <v>44</v>
      </c>
    </row>
    <row r="49" ht="22.5" customHeight="1">
      <c r="A49" s="11">
        <v>46072.656834629626</v>
      </c>
      <c r="B49" s="12" t="s">
        <v>22</v>
      </c>
      <c r="C49" s="13">
        <v>46072.0</v>
      </c>
      <c r="D49" s="12" t="s">
        <v>29</v>
      </c>
      <c r="E49" s="12">
        <v>20.0</v>
      </c>
      <c r="F49" s="12" t="s">
        <v>25</v>
      </c>
      <c r="G49" s="12" t="s">
        <v>26</v>
      </c>
      <c r="H49" s="12">
        <v>3.0</v>
      </c>
      <c r="I49" s="12">
        <v>3.0</v>
      </c>
      <c r="J49" s="12">
        <v>3.0</v>
      </c>
      <c r="K49" s="12">
        <v>3.0</v>
      </c>
      <c r="L49" s="12">
        <v>3.0</v>
      </c>
      <c r="M49" s="12">
        <v>3.0</v>
      </c>
      <c r="N49" s="12">
        <v>3.0</v>
      </c>
      <c r="O49" s="12">
        <v>3.0</v>
      </c>
      <c r="P49" s="12">
        <v>5.0</v>
      </c>
      <c r="Q49" s="12" t="s">
        <v>66</v>
      </c>
    </row>
    <row r="50" ht="22.5" customHeight="1">
      <c r="A50" s="11">
        <v>46072.65875259259</v>
      </c>
      <c r="B50" s="12" t="s">
        <v>22</v>
      </c>
      <c r="C50" s="13">
        <v>46072.0</v>
      </c>
      <c r="D50" s="12" t="s">
        <v>29</v>
      </c>
      <c r="E50" s="12" t="s">
        <v>87</v>
      </c>
      <c r="F50" s="12" t="s">
        <v>25</v>
      </c>
      <c r="G50" s="12" t="s">
        <v>26</v>
      </c>
      <c r="H50" s="12">
        <v>4.0</v>
      </c>
      <c r="I50" s="12">
        <v>4.0</v>
      </c>
      <c r="J50" s="12">
        <v>4.0</v>
      </c>
      <c r="K50" s="12">
        <v>4.0</v>
      </c>
      <c r="L50" s="12">
        <v>4.0</v>
      </c>
      <c r="M50" s="12">
        <v>4.0</v>
      </c>
      <c r="N50" s="12">
        <v>4.0</v>
      </c>
      <c r="O50" s="12">
        <v>4.0</v>
      </c>
      <c r="P50" s="12">
        <v>9.0</v>
      </c>
    </row>
    <row r="51" ht="22.5" customHeight="1">
      <c r="A51" s="11">
        <v>46072.800135</v>
      </c>
      <c r="B51" s="12" t="s">
        <v>22</v>
      </c>
      <c r="C51" s="13">
        <v>46072.0</v>
      </c>
      <c r="D51" s="12" t="s">
        <v>29</v>
      </c>
      <c r="F51" s="12" t="s">
        <v>25</v>
      </c>
      <c r="G51" s="12" t="s">
        <v>43</v>
      </c>
      <c r="H51" s="12">
        <v>4.0</v>
      </c>
      <c r="I51" s="12">
        <v>4.0</v>
      </c>
      <c r="J51" s="12">
        <v>4.0</v>
      </c>
      <c r="K51" s="12">
        <v>4.0</v>
      </c>
      <c r="L51" s="12">
        <v>4.0</v>
      </c>
      <c r="M51" s="12">
        <v>5.0</v>
      </c>
      <c r="N51" s="12">
        <v>4.0</v>
      </c>
      <c r="O51" s="12">
        <v>4.0</v>
      </c>
      <c r="P51" s="12">
        <v>8.0</v>
      </c>
    </row>
    <row r="52" ht="22.5" customHeight="1">
      <c r="A52" s="11">
        <v>46075.60500605324</v>
      </c>
      <c r="B52" s="12" t="s">
        <v>22</v>
      </c>
      <c r="C52" s="13">
        <v>46070.0</v>
      </c>
      <c r="D52" s="12" t="s">
        <v>29</v>
      </c>
      <c r="F52" s="12" t="s">
        <v>25</v>
      </c>
      <c r="G52" s="12" t="s">
        <v>26</v>
      </c>
      <c r="H52" s="12">
        <v>3.0</v>
      </c>
      <c r="I52" s="12">
        <v>2.0</v>
      </c>
      <c r="J52" s="12">
        <v>2.0</v>
      </c>
      <c r="K52" s="12">
        <v>2.0</v>
      </c>
      <c r="L52" s="12">
        <v>2.0</v>
      </c>
      <c r="M52" s="12">
        <v>4.0</v>
      </c>
      <c r="N52" s="12">
        <v>1.0</v>
      </c>
      <c r="O52" s="12">
        <v>1.0</v>
      </c>
      <c r="P52" s="12">
        <v>2.0</v>
      </c>
    </row>
    <row r="53" ht="22.5" customHeight="1">
      <c r="A53" s="11">
        <v>46077.39001554398</v>
      </c>
      <c r="B53" s="12" t="s">
        <v>22</v>
      </c>
      <c r="C53" s="13">
        <v>46077.0</v>
      </c>
      <c r="D53" s="12" t="s">
        <v>29</v>
      </c>
      <c r="F53" s="12" t="s">
        <v>25</v>
      </c>
      <c r="G53" s="12" t="s">
        <v>26</v>
      </c>
      <c r="K53" s="12">
        <v>4.0</v>
      </c>
      <c r="M53" s="12">
        <v>4.0</v>
      </c>
      <c r="N53" s="12">
        <v>4.0</v>
      </c>
      <c r="O53" s="12">
        <v>4.0</v>
      </c>
      <c r="P53" s="12">
        <v>10.0</v>
      </c>
    </row>
    <row r="54" ht="22.5" customHeight="1">
      <c r="A54" s="11">
        <v>46077.39078916667</v>
      </c>
      <c r="B54" s="12" t="s">
        <v>22</v>
      </c>
      <c r="C54" s="13">
        <v>46077.0</v>
      </c>
      <c r="D54" s="12" t="s">
        <v>29</v>
      </c>
      <c r="E54" s="12" t="s">
        <v>88</v>
      </c>
      <c r="F54" s="12" t="s">
        <v>25</v>
      </c>
      <c r="G54" s="12" t="s">
        <v>26</v>
      </c>
      <c r="H54" s="12">
        <v>4.0</v>
      </c>
      <c r="I54" s="12">
        <v>4.0</v>
      </c>
      <c r="J54" s="12">
        <v>4.0</v>
      </c>
      <c r="K54" s="12">
        <v>4.0</v>
      </c>
      <c r="L54" s="12">
        <v>4.0</v>
      </c>
      <c r="M54" s="12">
        <v>4.0</v>
      </c>
      <c r="N54" s="12">
        <v>4.0</v>
      </c>
      <c r="O54" s="12">
        <v>4.0</v>
      </c>
      <c r="P54" s="12">
        <v>10.0</v>
      </c>
    </row>
    <row r="55" ht="22.5" customHeight="1">
      <c r="A55" s="11">
        <v>46077.39137537037</v>
      </c>
      <c r="B55" s="12" t="s">
        <v>22</v>
      </c>
      <c r="C55" s="13">
        <v>46077.0</v>
      </c>
      <c r="D55" s="12" t="s">
        <v>29</v>
      </c>
      <c r="E55" s="12" t="s">
        <v>89</v>
      </c>
      <c r="F55" s="12" t="s">
        <v>25</v>
      </c>
      <c r="G55" s="12" t="s">
        <v>26</v>
      </c>
      <c r="H55" s="12">
        <v>5.0</v>
      </c>
      <c r="I55" s="12">
        <v>5.0</v>
      </c>
      <c r="J55" s="12">
        <v>5.0</v>
      </c>
      <c r="K55" s="12">
        <v>5.0</v>
      </c>
      <c r="L55" s="12">
        <v>5.0</v>
      </c>
      <c r="M55" s="12">
        <v>5.0</v>
      </c>
      <c r="N55" s="12">
        <v>5.0</v>
      </c>
      <c r="O55" s="12">
        <v>5.0</v>
      </c>
      <c r="P55" s="12">
        <v>10.0</v>
      </c>
    </row>
    <row r="56" ht="22.5" customHeight="1">
      <c r="A56" s="11">
        <v>46077.39143618055</v>
      </c>
      <c r="B56" s="12" t="s">
        <v>22</v>
      </c>
      <c r="C56" s="13">
        <v>46077.0</v>
      </c>
      <c r="D56" s="12" t="s">
        <v>29</v>
      </c>
      <c r="E56" s="12" t="s">
        <v>88</v>
      </c>
      <c r="F56" s="12" t="s">
        <v>25</v>
      </c>
      <c r="G56" s="12" t="s">
        <v>26</v>
      </c>
      <c r="H56" s="12">
        <v>5.0</v>
      </c>
      <c r="I56" s="12">
        <v>5.0</v>
      </c>
      <c r="J56" s="12">
        <v>5.0</v>
      </c>
      <c r="K56" s="12">
        <v>5.0</v>
      </c>
      <c r="L56" s="12">
        <v>5.0</v>
      </c>
      <c r="M56" s="12">
        <v>5.0</v>
      </c>
      <c r="N56" s="12">
        <v>5.0</v>
      </c>
      <c r="O56" s="12">
        <v>5.0</v>
      </c>
      <c r="P56" s="12">
        <v>10.0</v>
      </c>
    </row>
    <row r="57" ht="22.5" customHeight="1">
      <c r="A57" s="11">
        <v>46093.386377222225</v>
      </c>
      <c r="B57" s="12" t="s">
        <v>22</v>
      </c>
      <c r="C57" s="13">
        <v>46093.0</v>
      </c>
      <c r="D57" s="12" t="s">
        <v>29</v>
      </c>
      <c r="F57" s="12" t="s">
        <v>30</v>
      </c>
      <c r="G57" s="12" t="s">
        <v>26</v>
      </c>
      <c r="H57" s="12">
        <v>5.0</v>
      </c>
      <c r="I57" s="12">
        <v>5.0</v>
      </c>
      <c r="J57" s="12">
        <v>5.0</v>
      </c>
      <c r="K57" s="12">
        <v>5.0</v>
      </c>
      <c r="L57" s="12">
        <v>5.0</v>
      </c>
      <c r="M57" s="12">
        <v>4.0</v>
      </c>
      <c r="N57" s="12">
        <v>5.0</v>
      </c>
      <c r="O57" s="12">
        <v>5.0</v>
      </c>
      <c r="P57" s="12">
        <v>10.0</v>
      </c>
    </row>
    <row r="58" ht="22.5" customHeight="1">
      <c r="A58" s="11">
        <v>46093.387517696756</v>
      </c>
      <c r="B58" s="12" t="s">
        <v>22</v>
      </c>
      <c r="C58" s="13">
        <v>46093.0</v>
      </c>
      <c r="D58" s="12" t="s">
        <v>29</v>
      </c>
      <c r="F58" s="12" t="s">
        <v>30</v>
      </c>
      <c r="G58" s="12" t="s">
        <v>26</v>
      </c>
      <c r="H58" s="12">
        <v>5.0</v>
      </c>
      <c r="I58" s="12">
        <v>5.0</v>
      </c>
      <c r="J58" s="12">
        <v>5.0</v>
      </c>
      <c r="K58" s="12">
        <v>5.0</v>
      </c>
      <c r="L58" s="12">
        <v>5.0</v>
      </c>
      <c r="M58" s="12">
        <v>5.0</v>
      </c>
      <c r="N58" s="12">
        <v>5.0</v>
      </c>
      <c r="O58" s="12">
        <v>5.0</v>
      </c>
      <c r="P58" s="12">
        <v>10.0</v>
      </c>
      <c r="Q58" s="12" t="s">
        <v>79</v>
      </c>
      <c r="R58" s="12" t="s">
        <v>37</v>
      </c>
      <c r="S58" s="14"/>
      <c r="T58" s="14"/>
      <c r="U58" s="14"/>
      <c r="V58" s="14"/>
    </row>
    <row r="59" ht="22.5" customHeight="1">
      <c r="A59" s="11">
        <v>46097.610943182866</v>
      </c>
      <c r="B59" s="12" t="s">
        <v>22</v>
      </c>
      <c r="C59" s="13">
        <v>46097.0</v>
      </c>
      <c r="D59" s="12" t="s">
        <v>35</v>
      </c>
      <c r="F59" s="12" t="s">
        <v>25</v>
      </c>
      <c r="G59" s="12" t="s">
        <v>26</v>
      </c>
      <c r="H59" s="12">
        <v>5.0</v>
      </c>
      <c r="I59" s="12">
        <v>5.0</v>
      </c>
      <c r="J59" s="12">
        <v>5.0</v>
      </c>
      <c r="K59" s="12">
        <v>5.0</v>
      </c>
      <c r="L59" s="12">
        <v>5.0</v>
      </c>
      <c r="M59" s="12">
        <v>5.0</v>
      </c>
      <c r="N59" s="12">
        <v>5.0</v>
      </c>
      <c r="O59" s="12">
        <v>5.0</v>
      </c>
      <c r="P59" s="12">
        <v>10.0</v>
      </c>
    </row>
    <row r="60" ht="22.5" customHeight="1">
      <c r="A60" s="11">
        <v>46098.502908587965</v>
      </c>
      <c r="B60" s="12" t="s">
        <v>22</v>
      </c>
      <c r="C60" s="13">
        <v>46098.0</v>
      </c>
      <c r="D60" s="12" t="s">
        <v>90</v>
      </c>
      <c r="F60" s="12" t="s">
        <v>30</v>
      </c>
      <c r="G60" s="12" t="s">
        <v>26</v>
      </c>
      <c r="H60" s="12">
        <v>5.0</v>
      </c>
      <c r="I60" s="12">
        <v>5.0</v>
      </c>
      <c r="J60" s="12">
        <v>5.0</v>
      </c>
      <c r="K60" s="12">
        <v>5.0</v>
      </c>
      <c r="L60" s="12">
        <v>5.0</v>
      </c>
      <c r="M60" s="12">
        <v>5.0</v>
      </c>
      <c r="N60" s="12">
        <v>5.0</v>
      </c>
      <c r="O60" s="12">
        <v>5.0</v>
      </c>
      <c r="P60" s="12">
        <v>10.0</v>
      </c>
      <c r="Q60" s="12" t="s">
        <v>91</v>
      </c>
      <c r="R60" s="12" t="s">
        <v>92</v>
      </c>
      <c r="S60" s="14"/>
      <c r="T60" s="14"/>
      <c r="U60" s="14"/>
      <c r="V60" s="14"/>
    </row>
    <row r="61" ht="22.5" customHeight="1">
      <c r="A61" s="11">
        <v>46098.69465052083</v>
      </c>
      <c r="B61" s="12" t="s">
        <v>22</v>
      </c>
      <c r="C61" s="13">
        <v>46098.0</v>
      </c>
      <c r="D61" s="12" t="s">
        <v>29</v>
      </c>
      <c r="F61" s="12" t="s">
        <v>30</v>
      </c>
      <c r="G61" s="12" t="s">
        <v>26</v>
      </c>
      <c r="H61" s="12">
        <v>1.0</v>
      </c>
      <c r="I61" s="12">
        <v>1.0</v>
      </c>
      <c r="J61" s="12">
        <v>5.0</v>
      </c>
      <c r="K61" s="12">
        <v>5.0</v>
      </c>
      <c r="L61" s="12">
        <v>5.0</v>
      </c>
      <c r="M61" s="12">
        <v>5.0</v>
      </c>
      <c r="N61" s="12">
        <v>5.0</v>
      </c>
      <c r="O61" s="12">
        <v>5.0</v>
      </c>
      <c r="P61" s="12">
        <v>10.0</v>
      </c>
      <c r="Q61" s="12" t="s">
        <v>93</v>
      </c>
      <c r="R61" s="12" t="s">
        <v>71</v>
      </c>
      <c r="S61" s="14"/>
      <c r="T61" s="14"/>
      <c r="U61" s="14"/>
      <c r="V61" s="14"/>
    </row>
    <row r="62" ht="22.5" customHeight="1">
      <c r="A62" s="11">
        <v>46120.57836636574</v>
      </c>
      <c r="B62" s="12" t="s">
        <v>22</v>
      </c>
      <c r="C62" s="13">
        <v>46106.0</v>
      </c>
      <c r="D62" s="12" t="s">
        <v>29</v>
      </c>
      <c r="F62" s="12" t="s">
        <v>30</v>
      </c>
      <c r="G62" s="12" t="s">
        <v>26</v>
      </c>
      <c r="H62" s="12">
        <v>5.0</v>
      </c>
      <c r="I62" s="12">
        <v>5.0</v>
      </c>
      <c r="J62" s="12">
        <v>5.0</v>
      </c>
      <c r="K62" s="12">
        <v>5.0</v>
      </c>
      <c r="L62" s="12">
        <v>5.0</v>
      </c>
      <c r="M62" s="12">
        <v>5.0</v>
      </c>
      <c r="N62" s="12">
        <v>5.0</v>
      </c>
      <c r="O62" s="12">
        <v>5.0</v>
      </c>
      <c r="P62" s="12">
        <v>10.0</v>
      </c>
    </row>
    <row r="63" ht="22.5" customHeight="1">
      <c r="A63" s="11">
        <v>46142.559908738425</v>
      </c>
      <c r="B63" s="12" t="s">
        <v>22</v>
      </c>
      <c r="C63" s="13">
        <v>46142.0</v>
      </c>
      <c r="D63" s="12" t="s">
        <v>29</v>
      </c>
      <c r="F63" s="12" t="s">
        <v>30</v>
      </c>
      <c r="G63" s="12" t="s">
        <v>62</v>
      </c>
      <c r="H63" s="12">
        <v>5.0</v>
      </c>
      <c r="I63" s="12">
        <v>5.0</v>
      </c>
      <c r="J63" s="12">
        <v>5.0</v>
      </c>
      <c r="K63" s="12">
        <v>5.0</v>
      </c>
      <c r="L63" s="12">
        <v>5.0</v>
      </c>
      <c r="M63" s="12">
        <v>5.0</v>
      </c>
      <c r="N63" s="12">
        <v>5.0</v>
      </c>
      <c r="O63" s="12">
        <v>5.0</v>
      </c>
      <c r="P63" s="12">
        <v>5.0</v>
      </c>
    </row>
    <row r="64" ht="22.5" customHeight="1">
      <c r="A64" s="11">
        <v>46142.56213240741</v>
      </c>
      <c r="B64" s="12" t="s">
        <v>22</v>
      </c>
      <c r="C64" s="13">
        <v>46142.0</v>
      </c>
      <c r="D64" s="12" t="s">
        <v>29</v>
      </c>
      <c r="E64" s="12" t="s">
        <v>94</v>
      </c>
      <c r="F64" s="12" t="s">
        <v>25</v>
      </c>
      <c r="G64" s="12" t="s">
        <v>54</v>
      </c>
      <c r="H64" s="12">
        <v>5.0</v>
      </c>
      <c r="I64" s="12">
        <v>5.0</v>
      </c>
      <c r="J64" s="12">
        <v>5.0</v>
      </c>
      <c r="K64" s="12">
        <v>5.0</v>
      </c>
      <c r="L64" s="12">
        <v>5.0</v>
      </c>
      <c r="M64" s="12">
        <v>5.0</v>
      </c>
      <c r="N64" s="12">
        <v>5.0</v>
      </c>
      <c r="O64" s="12">
        <v>5.0</v>
      </c>
      <c r="P64" s="12">
        <v>10.0</v>
      </c>
      <c r="Q64" s="12" t="s">
        <v>41</v>
      </c>
      <c r="R64" s="12" t="s">
        <v>95</v>
      </c>
      <c r="S64" s="14"/>
      <c r="T64" s="14"/>
      <c r="U64" s="14"/>
      <c r="V64" s="14"/>
    </row>
    <row r="65" ht="22.5" customHeight="1">
      <c r="A65" s="11">
        <v>46142.56282950232</v>
      </c>
      <c r="B65" s="12" t="s">
        <v>22</v>
      </c>
      <c r="C65" s="13">
        <v>46142.0</v>
      </c>
      <c r="D65" s="12" t="s">
        <v>29</v>
      </c>
      <c r="F65" s="12" t="s">
        <v>30</v>
      </c>
      <c r="G65" s="12" t="s">
        <v>43</v>
      </c>
      <c r="H65" s="12">
        <v>4.0</v>
      </c>
      <c r="I65" s="12">
        <v>4.0</v>
      </c>
      <c r="J65" s="12">
        <v>4.0</v>
      </c>
      <c r="K65" s="12">
        <v>4.0</v>
      </c>
      <c r="L65" s="12">
        <v>4.0</v>
      </c>
      <c r="M65" s="12">
        <v>4.0</v>
      </c>
      <c r="N65" s="12">
        <v>4.0</v>
      </c>
      <c r="O65" s="12">
        <v>4.0</v>
      </c>
      <c r="P65" s="12">
        <v>8.0</v>
      </c>
      <c r="Q65" s="12" t="s">
        <v>96</v>
      </c>
      <c r="R65" s="12" t="s">
        <v>97</v>
      </c>
      <c r="S65" s="14"/>
      <c r="T65" s="14"/>
      <c r="U65" s="14"/>
      <c r="V65" s="14"/>
    </row>
    <row r="66" ht="22.5" customHeight="1">
      <c r="A66" s="11">
        <v>46142.56423609954</v>
      </c>
      <c r="B66" s="12" t="s">
        <v>22</v>
      </c>
      <c r="C66" s="13">
        <v>46142.0</v>
      </c>
      <c r="D66" s="12" t="s">
        <v>29</v>
      </c>
      <c r="E66" s="12" t="s">
        <v>98</v>
      </c>
      <c r="F66" s="12" t="s">
        <v>30</v>
      </c>
      <c r="G66" s="12" t="s">
        <v>62</v>
      </c>
      <c r="H66" s="12">
        <v>3.0</v>
      </c>
      <c r="I66" s="12">
        <v>3.0</v>
      </c>
      <c r="J66" s="12">
        <v>3.0</v>
      </c>
      <c r="K66" s="12">
        <v>3.0</v>
      </c>
      <c r="L66" s="12">
        <v>3.0</v>
      </c>
      <c r="M66" s="12">
        <v>3.0</v>
      </c>
      <c r="N66" s="12">
        <v>3.0</v>
      </c>
      <c r="O66" s="12">
        <v>3.0</v>
      </c>
      <c r="P66" s="12">
        <v>5.0</v>
      </c>
    </row>
    <row r="67" ht="22.5" customHeight="1">
      <c r="A67" s="11">
        <v>46142.564325775464</v>
      </c>
      <c r="B67" s="12" t="s">
        <v>22</v>
      </c>
      <c r="C67" s="13" t="s">
        <v>99</v>
      </c>
      <c r="D67" s="12" t="s">
        <v>29</v>
      </c>
      <c r="F67" s="12" t="s">
        <v>25</v>
      </c>
      <c r="G67" s="12" t="s">
        <v>43</v>
      </c>
      <c r="H67" s="12">
        <v>3.0</v>
      </c>
      <c r="I67" s="12">
        <v>5.0</v>
      </c>
      <c r="J67" s="12">
        <v>5.0</v>
      </c>
      <c r="K67" s="12">
        <v>5.0</v>
      </c>
      <c r="L67" s="12">
        <v>5.0</v>
      </c>
      <c r="M67" s="12">
        <v>5.0</v>
      </c>
      <c r="N67" s="12">
        <v>5.0</v>
      </c>
      <c r="O67" s="12">
        <v>5.0</v>
      </c>
      <c r="P67" s="12">
        <v>9.0</v>
      </c>
    </row>
    <row r="68" ht="22.5" customHeight="1">
      <c r="A68" s="11">
        <v>46142.56467766204</v>
      </c>
      <c r="B68" s="12" t="s">
        <v>22</v>
      </c>
      <c r="C68" s="13">
        <v>46142.0</v>
      </c>
      <c r="D68" s="12" t="s">
        <v>29</v>
      </c>
      <c r="E68" s="12" t="s">
        <v>100</v>
      </c>
      <c r="F68" s="12" t="s">
        <v>30</v>
      </c>
      <c r="G68" s="12" t="s">
        <v>43</v>
      </c>
      <c r="H68" s="12">
        <v>3.0</v>
      </c>
      <c r="I68" s="12">
        <v>4.0</v>
      </c>
      <c r="J68" s="12">
        <v>4.0</v>
      </c>
      <c r="K68" s="12">
        <v>4.0</v>
      </c>
      <c r="L68" s="12">
        <v>4.0</v>
      </c>
      <c r="M68" s="12">
        <v>4.0</v>
      </c>
      <c r="N68" s="12">
        <v>4.0</v>
      </c>
      <c r="O68" s="12">
        <v>4.0</v>
      </c>
      <c r="P68" s="12">
        <v>7.0</v>
      </c>
      <c r="Q68" s="12" t="s">
        <v>101</v>
      </c>
      <c r="R68" s="12" t="s">
        <v>102</v>
      </c>
      <c r="S68" s="14"/>
      <c r="T68" s="14"/>
      <c r="U68" s="14"/>
      <c r="V68" s="14"/>
    </row>
    <row r="69" ht="22.5" customHeight="1">
      <c r="A69" s="11">
        <v>46142.56653243056</v>
      </c>
      <c r="B69" s="12" t="s">
        <v>22</v>
      </c>
      <c r="C69" s="13">
        <v>46142.0</v>
      </c>
      <c r="D69" s="12" t="s">
        <v>29</v>
      </c>
      <c r="F69" s="12" t="s">
        <v>25</v>
      </c>
      <c r="G69" s="12" t="s">
        <v>57</v>
      </c>
      <c r="H69" s="12">
        <v>4.0</v>
      </c>
      <c r="J69" s="12">
        <v>4.0</v>
      </c>
      <c r="K69" s="12">
        <v>4.0</v>
      </c>
      <c r="L69" s="12">
        <v>4.0</v>
      </c>
      <c r="M69" s="12">
        <v>4.0</v>
      </c>
      <c r="N69" s="12">
        <v>4.0</v>
      </c>
      <c r="O69" s="12">
        <v>4.0</v>
      </c>
      <c r="P69" s="12">
        <v>5.0</v>
      </c>
    </row>
    <row r="70" ht="22.5" customHeight="1">
      <c r="A70" s="11">
        <v>46142.5692274537</v>
      </c>
      <c r="B70" s="12" t="s">
        <v>22</v>
      </c>
      <c r="C70" s="13">
        <v>46142.0</v>
      </c>
      <c r="D70" s="12" t="s">
        <v>29</v>
      </c>
      <c r="F70" s="12" t="s">
        <v>30</v>
      </c>
      <c r="G70" s="12" t="s">
        <v>62</v>
      </c>
      <c r="H70" s="12">
        <v>2.0</v>
      </c>
      <c r="I70" s="12">
        <v>3.0</v>
      </c>
      <c r="J70" s="12">
        <v>2.0</v>
      </c>
      <c r="K70" s="12">
        <v>3.0</v>
      </c>
      <c r="L70" s="12">
        <v>2.0</v>
      </c>
      <c r="M70" s="12">
        <v>3.0</v>
      </c>
      <c r="N70" s="12">
        <v>2.0</v>
      </c>
      <c r="O70" s="12">
        <v>2.0</v>
      </c>
      <c r="P70" s="12">
        <v>5.0</v>
      </c>
    </row>
    <row r="71" ht="22.5" customHeight="1">
      <c r="A71" s="11">
        <v>46142.58042278935</v>
      </c>
      <c r="B71" s="12" t="s">
        <v>22</v>
      </c>
      <c r="C71" s="13">
        <v>46142.0</v>
      </c>
      <c r="D71" s="12" t="s">
        <v>29</v>
      </c>
      <c r="F71" s="12" t="s">
        <v>30</v>
      </c>
      <c r="G71" s="12" t="s">
        <v>43</v>
      </c>
      <c r="H71" s="12">
        <v>3.0</v>
      </c>
      <c r="I71" s="12">
        <v>3.0</v>
      </c>
      <c r="J71" s="12">
        <v>3.0</v>
      </c>
      <c r="K71" s="12">
        <v>3.0</v>
      </c>
      <c r="L71" s="12">
        <v>3.0</v>
      </c>
      <c r="M71" s="12">
        <v>3.0</v>
      </c>
      <c r="N71" s="12">
        <v>3.0</v>
      </c>
      <c r="O71" s="12">
        <v>3.0</v>
      </c>
      <c r="P71" s="12">
        <v>6.0</v>
      </c>
    </row>
    <row r="72" ht="22.5" customHeight="1">
      <c r="A72" s="11">
        <v>46142.58064288195</v>
      </c>
      <c r="B72" s="12" t="s">
        <v>22</v>
      </c>
      <c r="C72" s="13">
        <v>46142.0</v>
      </c>
      <c r="D72" s="12" t="s">
        <v>29</v>
      </c>
      <c r="E72" s="12">
        <v>1.0</v>
      </c>
      <c r="F72" s="12" t="s">
        <v>30</v>
      </c>
      <c r="G72" s="12" t="s">
        <v>26</v>
      </c>
      <c r="H72" s="12">
        <v>5.0</v>
      </c>
      <c r="I72" s="12">
        <v>5.0</v>
      </c>
      <c r="J72" s="12">
        <v>4.0</v>
      </c>
      <c r="K72" s="12">
        <v>4.0</v>
      </c>
      <c r="L72" s="12">
        <v>5.0</v>
      </c>
      <c r="M72" s="12">
        <v>4.0</v>
      </c>
      <c r="N72" s="12">
        <v>4.0</v>
      </c>
      <c r="O72" s="12">
        <v>4.0</v>
      </c>
      <c r="P72" s="12">
        <v>9.0</v>
      </c>
      <c r="Q72" s="12" t="s">
        <v>44</v>
      </c>
      <c r="R72" s="12" t="s">
        <v>103</v>
      </c>
      <c r="S72" s="14"/>
      <c r="T72" s="14"/>
      <c r="U72" s="14"/>
      <c r="V72" s="14"/>
    </row>
    <row r="73" ht="22.5" customHeight="1">
      <c r="A73" s="11">
        <v>46142.58070478009</v>
      </c>
      <c r="B73" s="12" t="s">
        <v>22</v>
      </c>
      <c r="C73" s="13">
        <v>46142.0</v>
      </c>
      <c r="D73" s="12" t="s">
        <v>29</v>
      </c>
      <c r="E73" s="12" t="s">
        <v>104</v>
      </c>
      <c r="F73" s="12" t="s">
        <v>30</v>
      </c>
      <c r="G73" s="12" t="s">
        <v>69</v>
      </c>
      <c r="H73" s="12">
        <v>3.0</v>
      </c>
      <c r="I73" s="12">
        <v>3.0</v>
      </c>
      <c r="J73" s="12">
        <v>3.0</v>
      </c>
      <c r="K73" s="12">
        <v>2.0</v>
      </c>
      <c r="L73" s="12">
        <v>3.0</v>
      </c>
      <c r="M73" s="12">
        <v>3.0</v>
      </c>
      <c r="N73" s="12">
        <v>2.0</v>
      </c>
      <c r="O73" s="12">
        <v>3.0</v>
      </c>
      <c r="P73" s="12">
        <v>5.0</v>
      </c>
    </row>
    <row r="74" ht="22.5" customHeight="1">
      <c r="A74" s="11">
        <v>46142.581479016204</v>
      </c>
      <c r="B74" s="12" t="s">
        <v>22</v>
      </c>
      <c r="C74" s="13">
        <v>46137.0</v>
      </c>
      <c r="D74" s="12" t="s">
        <v>29</v>
      </c>
      <c r="F74" s="12" t="s">
        <v>30</v>
      </c>
      <c r="G74" s="12" t="s">
        <v>43</v>
      </c>
      <c r="H74" s="12">
        <v>2.0</v>
      </c>
      <c r="I74" s="12">
        <v>2.0</v>
      </c>
      <c r="J74" s="12">
        <v>4.0</v>
      </c>
      <c r="K74" s="12">
        <v>3.0</v>
      </c>
      <c r="L74" s="12">
        <v>2.0</v>
      </c>
      <c r="M74" s="12">
        <v>4.0</v>
      </c>
      <c r="N74" s="12">
        <v>2.0</v>
      </c>
      <c r="O74" s="12">
        <v>4.0</v>
      </c>
      <c r="P74" s="12">
        <v>5.0</v>
      </c>
    </row>
    <row r="75" ht="22.5" customHeight="1">
      <c r="A75" s="11">
        <v>46142.58263071759</v>
      </c>
      <c r="B75" s="12" t="s">
        <v>22</v>
      </c>
      <c r="C75" s="13">
        <v>46142.0</v>
      </c>
      <c r="D75" s="12" t="s">
        <v>29</v>
      </c>
      <c r="F75" s="12" t="s">
        <v>30</v>
      </c>
      <c r="G75" s="12" t="s">
        <v>43</v>
      </c>
      <c r="H75" s="12">
        <v>3.0</v>
      </c>
      <c r="I75" s="12">
        <v>3.0</v>
      </c>
      <c r="J75" s="12">
        <v>3.0</v>
      </c>
      <c r="K75" s="12">
        <v>2.0</v>
      </c>
      <c r="L75" s="12">
        <v>5.0</v>
      </c>
      <c r="M75" s="12">
        <v>3.0</v>
      </c>
      <c r="N75" s="12">
        <v>2.0</v>
      </c>
      <c r="O75" s="12">
        <v>5.0</v>
      </c>
      <c r="P75" s="12">
        <v>7.0</v>
      </c>
    </row>
    <row r="76" ht="22.5" customHeight="1">
      <c r="A76" s="11">
        <v>46142.58264407408</v>
      </c>
      <c r="B76" s="12" t="s">
        <v>22</v>
      </c>
      <c r="C76" s="13">
        <v>46142.0</v>
      </c>
      <c r="D76" s="12" t="s">
        <v>29</v>
      </c>
      <c r="F76" s="12" t="s">
        <v>30</v>
      </c>
      <c r="G76" s="12" t="s">
        <v>43</v>
      </c>
      <c r="H76" s="12">
        <v>5.0</v>
      </c>
      <c r="I76" s="12">
        <v>5.0</v>
      </c>
      <c r="J76" s="12">
        <v>5.0</v>
      </c>
      <c r="K76" s="12">
        <v>5.0</v>
      </c>
      <c r="L76" s="12">
        <v>5.0</v>
      </c>
      <c r="M76" s="12">
        <v>5.0</v>
      </c>
      <c r="N76" s="12">
        <v>5.0</v>
      </c>
      <c r="O76" s="12">
        <v>5.0</v>
      </c>
      <c r="P76" s="12">
        <v>5.0</v>
      </c>
    </row>
    <row r="77" ht="22.5" customHeight="1">
      <c r="A77" s="11">
        <v>46142.58291438657</v>
      </c>
      <c r="B77" s="12" t="s">
        <v>22</v>
      </c>
      <c r="C77" s="13" t="s">
        <v>99</v>
      </c>
      <c r="D77" s="12" t="s">
        <v>29</v>
      </c>
      <c r="E77" s="12" t="s">
        <v>104</v>
      </c>
      <c r="F77" s="12" t="s">
        <v>30</v>
      </c>
      <c r="G77" s="12" t="s">
        <v>43</v>
      </c>
      <c r="H77" s="12">
        <v>3.0</v>
      </c>
      <c r="I77" s="12">
        <v>3.0</v>
      </c>
      <c r="J77" s="12">
        <v>3.0</v>
      </c>
      <c r="K77" s="12">
        <v>3.0</v>
      </c>
      <c r="L77" s="12">
        <v>2.0</v>
      </c>
      <c r="M77" s="12">
        <v>3.0</v>
      </c>
      <c r="N77" s="12">
        <v>3.0</v>
      </c>
      <c r="O77" s="12">
        <v>4.0</v>
      </c>
      <c r="P77" s="12">
        <v>7.0</v>
      </c>
      <c r="Q77" s="12" t="s">
        <v>70</v>
      </c>
      <c r="R77" s="12" t="s">
        <v>105</v>
      </c>
      <c r="S77" s="14"/>
      <c r="T77" s="14"/>
      <c r="U77" s="14"/>
      <c r="V77" s="14"/>
    </row>
    <row r="78" ht="22.5" customHeight="1">
      <c r="A78" s="11">
        <v>46142.58509065972</v>
      </c>
      <c r="B78" s="12" t="s">
        <v>22</v>
      </c>
      <c r="C78" s="13">
        <v>46142.0</v>
      </c>
      <c r="D78" s="12" t="s">
        <v>29</v>
      </c>
      <c r="E78" s="12" t="s">
        <v>104</v>
      </c>
      <c r="F78" s="12" t="s">
        <v>25</v>
      </c>
      <c r="G78" s="12" t="s">
        <v>43</v>
      </c>
      <c r="H78" s="12">
        <v>3.0</v>
      </c>
      <c r="I78" s="12">
        <v>2.0</v>
      </c>
      <c r="J78" s="12">
        <v>3.0</v>
      </c>
      <c r="K78" s="12">
        <v>4.0</v>
      </c>
      <c r="L78" s="12">
        <v>5.0</v>
      </c>
      <c r="M78" s="12">
        <v>4.0</v>
      </c>
      <c r="N78" s="12">
        <v>5.0</v>
      </c>
      <c r="O78" s="12">
        <v>5.0</v>
      </c>
      <c r="P78" s="12">
        <v>5.0</v>
      </c>
    </row>
    <row r="79" ht="22.5" customHeight="1">
      <c r="A79" s="11">
        <v>46142.587543483794</v>
      </c>
      <c r="B79" s="12" t="s">
        <v>22</v>
      </c>
      <c r="C79" s="13">
        <v>46142.0</v>
      </c>
      <c r="D79" s="12" t="s">
        <v>29</v>
      </c>
      <c r="F79" s="12" t="s">
        <v>30</v>
      </c>
      <c r="G79" s="12" t="s">
        <v>43</v>
      </c>
      <c r="H79" s="12">
        <v>5.0</v>
      </c>
      <c r="I79" s="12">
        <v>5.0</v>
      </c>
      <c r="J79" s="12">
        <v>5.0</v>
      </c>
      <c r="K79" s="12">
        <v>5.0</v>
      </c>
      <c r="L79" s="12">
        <v>5.0</v>
      </c>
      <c r="M79" s="12">
        <v>5.0</v>
      </c>
      <c r="N79" s="12">
        <v>3.0</v>
      </c>
      <c r="O79" s="12">
        <v>5.0</v>
      </c>
      <c r="P79" s="12">
        <v>9.0</v>
      </c>
    </row>
    <row r="80" ht="22.5" customHeight="1">
      <c r="A80" s="11">
        <v>46142.58944011574</v>
      </c>
      <c r="B80" s="12" t="s">
        <v>22</v>
      </c>
      <c r="C80" s="13">
        <v>46087.0</v>
      </c>
      <c r="D80" s="12" t="s">
        <v>29</v>
      </c>
      <c r="F80" s="12" t="s">
        <v>30</v>
      </c>
      <c r="G80" s="12" t="s">
        <v>106</v>
      </c>
      <c r="H80" s="12">
        <v>3.0</v>
      </c>
      <c r="I80" s="12">
        <v>3.0</v>
      </c>
      <c r="J80" s="12">
        <v>3.0</v>
      </c>
      <c r="K80" s="12">
        <v>2.0</v>
      </c>
      <c r="L80" s="12">
        <v>4.0</v>
      </c>
      <c r="M80" s="12">
        <v>3.0</v>
      </c>
      <c r="N80" s="12">
        <v>3.0</v>
      </c>
      <c r="O80" s="12">
        <v>3.0</v>
      </c>
      <c r="P80" s="12">
        <v>5.0</v>
      </c>
    </row>
    <row r="81" ht="22.5" customHeight="1">
      <c r="A81" s="11">
        <v>46142.590204189815</v>
      </c>
      <c r="B81" s="12" t="s">
        <v>22</v>
      </c>
      <c r="C81" s="13">
        <v>46142.0</v>
      </c>
      <c r="D81" s="12" t="s">
        <v>29</v>
      </c>
      <c r="E81" s="12" t="s">
        <v>107</v>
      </c>
      <c r="F81" s="12" t="s">
        <v>30</v>
      </c>
      <c r="G81" s="12" t="s">
        <v>43</v>
      </c>
      <c r="H81" s="12">
        <v>5.0</v>
      </c>
      <c r="I81" s="12">
        <v>4.0</v>
      </c>
      <c r="J81" s="12">
        <v>4.0</v>
      </c>
      <c r="K81" s="12">
        <v>4.0</v>
      </c>
      <c r="L81" s="12">
        <v>4.0</v>
      </c>
      <c r="M81" s="12">
        <v>4.0</v>
      </c>
      <c r="N81" s="12">
        <v>4.0</v>
      </c>
      <c r="O81" s="12">
        <v>5.0</v>
      </c>
      <c r="P81" s="12">
        <v>7.0</v>
      </c>
      <c r="Q81" s="12" t="s">
        <v>38</v>
      </c>
      <c r="R81" s="12" t="s">
        <v>38</v>
      </c>
      <c r="S81" s="14"/>
      <c r="T81" s="14"/>
      <c r="U81" s="14"/>
      <c r="V81" s="14"/>
    </row>
    <row r="82" ht="22.5" customHeight="1">
      <c r="A82" s="11">
        <v>46142.59062702546</v>
      </c>
      <c r="B82" s="12" t="s">
        <v>22</v>
      </c>
      <c r="C82" s="13">
        <v>46142.0</v>
      </c>
      <c r="D82" s="12" t="s">
        <v>29</v>
      </c>
      <c r="E82" s="12" t="s">
        <v>108</v>
      </c>
      <c r="F82" s="12" t="s">
        <v>30</v>
      </c>
      <c r="G82" s="12" t="s">
        <v>109</v>
      </c>
      <c r="H82" s="12">
        <v>5.0</v>
      </c>
      <c r="I82" s="12">
        <v>4.0</v>
      </c>
      <c r="J82" s="12">
        <v>4.0</v>
      </c>
      <c r="K82" s="12">
        <v>4.0</v>
      </c>
      <c r="L82" s="12">
        <v>5.0</v>
      </c>
      <c r="M82" s="12">
        <v>4.0</v>
      </c>
      <c r="N82" s="12">
        <v>3.0</v>
      </c>
      <c r="O82" s="12">
        <v>5.0</v>
      </c>
      <c r="P82" s="12">
        <v>8.0</v>
      </c>
      <c r="Q82" s="12" t="s">
        <v>110</v>
      </c>
      <c r="R82" s="12" t="s">
        <v>111</v>
      </c>
      <c r="S82" s="14"/>
      <c r="T82" s="14"/>
      <c r="U82" s="14"/>
      <c r="V82" s="14"/>
    </row>
    <row r="83" ht="22.5" customHeight="1">
      <c r="A83" s="11">
        <v>46142.5907443287</v>
      </c>
      <c r="B83" s="12" t="s">
        <v>22</v>
      </c>
      <c r="C83" s="13">
        <v>46130.0</v>
      </c>
      <c r="D83" s="12" t="s">
        <v>29</v>
      </c>
      <c r="F83" s="12" t="s">
        <v>30</v>
      </c>
      <c r="G83" s="12" t="s">
        <v>43</v>
      </c>
      <c r="H83" s="12">
        <v>3.0</v>
      </c>
      <c r="I83" s="12">
        <v>4.0</v>
      </c>
      <c r="J83" s="12">
        <v>5.0</v>
      </c>
      <c r="K83" s="12">
        <v>5.0</v>
      </c>
      <c r="L83" s="12">
        <v>5.0</v>
      </c>
      <c r="M83" s="12">
        <v>4.0</v>
      </c>
      <c r="N83" s="12">
        <v>4.0</v>
      </c>
      <c r="O83" s="12">
        <v>4.0</v>
      </c>
      <c r="P83" s="12">
        <v>9.0</v>
      </c>
    </row>
    <row r="84" ht="22.5" customHeight="1">
      <c r="A84" s="11">
        <v>46142.591404583334</v>
      </c>
      <c r="B84" s="12" t="s">
        <v>22</v>
      </c>
      <c r="C84" s="13">
        <v>46142.0</v>
      </c>
      <c r="D84" s="12" t="s">
        <v>29</v>
      </c>
      <c r="E84" s="12" t="s">
        <v>100</v>
      </c>
      <c r="F84" s="12" t="s">
        <v>30</v>
      </c>
      <c r="G84" s="12" t="s">
        <v>112</v>
      </c>
      <c r="H84" s="12">
        <v>3.0</v>
      </c>
      <c r="I84" s="12">
        <v>4.0</v>
      </c>
      <c r="J84" s="12">
        <v>3.0</v>
      </c>
      <c r="K84" s="12">
        <v>3.0</v>
      </c>
      <c r="L84" s="12">
        <v>4.0</v>
      </c>
      <c r="M84" s="12">
        <v>4.0</v>
      </c>
      <c r="N84" s="12">
        <v>3.0</v>
      </c>
      <c r="O84" s="12">
        <v>3.0</v>
      </c>
      <c r="P84" s="12">
        <v>7.0</v>
      </c>
      <c r="Q84" s="12" t="s">
        <v>113</v>
      </c>
      <c r="R84" s="12" t="s">
        <v>114</v>
      </c>
      <c r="S84" s="14"/>
      <c r="T84" s="14"/>
      <c r="U84" s="14"/>
      <c r="V84" s="14"/>
    </row>
    <row r="85" ht="22.5" customHeight="1">
      <c r="A85" s="11">
        <v>46142.59228603009</v>
      </c>
      <c r="B85" s="12" t="s">
        <v>22</v>
      </c>
      <c r="C85" s="13">
        <v>46142.0</v>
      </c>
      <c r="D85" s="12" t="s">
        <v>29</v>
      </c>
      <c r="E85" s="12" t="s">
        <v>100</v>
      </c>
      <c r="F85" s="12" t="s">
        <v>30</v>
      </c>
      <c r="G85" s="12" t="s">
        <v>115</v>
      </c>
      <c r="H85" s="12">
        <v>3.0</v>
      </c>
      <c r="I85" s="12">
        <v>3.0</v>
      </c>
      <c r="J85" s="12">
        <v>3.0</v>
      </c>
      <c r="K85" s="12">
        <v>4.0</v>
      </c>
      <c r="L85" s="12">
        <v>4.0</v>
      </c>
      <c r="M85" s="12">
        <v>3.0</v>
      </c>
      <c r="N85" s="12">
        <v>3.0</v>
      </c>
      <c r="O85" s="12">
        <v>3.0</v>
      </c>
      <c r="P85" s="12">
        <v>7.0</v>
      </c>
      <c r="Q85" s="12" t="s">
        <v>116</v>
      </c>
      <c r="R85" s="12" t="s">
        <v>114</v>
      </c>
      <c r="S85" s="14"/>
      <c r="T85" s="14"/>
      <c r="U85" s="14"/>
      <c r="V85" s="14"/>
    </row>
    <row r="86" ht="22.5" customHeight="1">
      <c r="A86" s="11">
        <v>46142.5967353125</v>
      </c>
      <c r="B86" s="12" t="s">
        <v>22</v>
      </c>
      <c r="C86" s="13">
        <v>46142.0</v>
      </c>
      <c r="D86" s="12" t="s">
        <v>29</v>
      </c>
      <c r="F86" s="12" t="s">
        <v>68</v>
      </c>
      <c r="G86" s="12" t="s">
        <v>69</v>
      </c>
      <c r="H86" s="12">
        <v>3.0</v>
      </c>
      <c r="I86" s="12">
        <v>5.0</v>
      </c>
      <c r="J86" s="12">
        <v>5.0</v>
      </c>
      <c r="L86" s="12">
        <v>5.0</v>
      </c>
      <c r="M86" s="12">
        <v>5.0</v>
      </c>
      <c r="N86" s="12">
        <v>5.0</v>
      </c>
      <c r="O86" s="12">
        <v>5.0</v>
      </c>
      <c r="P86" s="12">
        <v>10.0</v>
      </c>
    </row>
    <row r="87" ht="22.5" customHeight="1">
      <c r="A87" s="11">
        <v>46142.60072300926</v>
      </c>
      <c r="B87" s="12" t="s">
        <v>22</v>
      </c>
      <c r="C87" s="13">
        <v>39042.0</v>
      </c>
      <c r="D87" s="12" t="s">
        <v>29</v>
      </c>
      <c r="E87" s="12" t="s">
        <v>117</v>
      </c>
      <c r="F87" s="12" t="s">
        <v>30</v>
      </c>
      <c r="G87" s="12" t="s">
        <v>69</v>
      </c>
      <c r="H87" s="12">
        <v>3.0</v>
      </c>
      <c r="I87" s="12">
        <v>5.0</v>
      </c>
      <c r="J87" s="12">
        <v>5.0</v>
      </c>
      <c r="K87" s="12">
        <v>3.0</v>
      </c>
      <c r="L87" s="12">
        <v>3.0</v>
      </c>
      <c r="M87" s="12">
        <v>3.0</v>
      </c>
      <c r="N87" s="12">
        <v>3.0</v>
      </c>
      <c r="O87" s="12">
        <v>4.0</v>
      </c>
      <c r="P87" s="12">
        <v>8.0</v>
      </c>
      <c r="Q87" s="12" t="s">
        <v>118</v>
      </c>
      <c r="R87" s="12" t="s">
        <v>118</v>
      </c>
      <c r="S87" s="14"/>
      <c r="T87" s="14"/>
      <c r="U87" s="14"/>
      <c r="V87" s="14"/>
    </row>
    <row r="88" ht="22.5" customHeight="1">
      <c r="A88" s="11">
        <v>46142.60529141204</v>
      </c>
      <c r="B88" s="12" t="s">
        <v>22</v>
      </c>
      <c r="C88" s="13">
        <v>46142.0</v>
      </c>
      <c r="D88" s="12" t="s">
        <v>29</v>
      </c>
      <c r="E88" s="12" t="s">
        <v>119</v>
      </c>
      <c r="F88" s="12" t="s">
        <v>30</v>
      </c>
      <c r="G88" s="12" t="s">
        <v>43</v>
      </c>
      <c r="H88" s="12">
        <v>4.0</v>
      </c>
      <c r="I88" s="12">
        <v>4.0</v>
      </c>
      <c r="J88" s="12">
        <v>4.0</v>
      </c>
      <c r="K88" s="12">
        <v>4.0</v>
      </c>
      <c r="L88" s="12">
        <v>4.0</v>
      </c>
      <c r="M88" s="12">
        <v>4.0</v>
      </c>
      <c r="N88" s="12">
        <v>4.0</v>
      </c>
      <c r="O88" s="12">
        <v>4.0</v>
      </c>
      <c r="P88" s="12">
        <v>7.0</v>
      </c>
      <c r="Q88" s="12" t="s">
        <v>120</v>
      </c>
      <c r="R88" s="12" t="s">
        <v>120</v>
      </c>
      <c r="S88" s="14"/>
      <c r="T88" s="14"/>
      <c r="U88" s="14"/>
      <c r="V88" s="14"/>
    </row>
    <row r="89" ht="22.5" customHeight="1">
      <c r="A89" s="11">
        <v>46142.606183842596</v>
      </c>
      <c r="B89" s="12" t="s">
        <v>22</v>
      </c>
      <c r="C89" s="13">
        <v>46142.0</v>
      </c>
      <c r="D89" s="12" t="s">
        <v>29</v>
      </c>
      <c r="F89" s="12" t="s">
        <v>30</v>
      </c>
      <c r="G89" s="12" t="s">
        <v>26</v>
      </c>
      <c r="H89" s="12">
        <v>5.0</v>
      </c>
      <c r="I89" s="12">
        <v>5.0</v>
      </c>
      <c r="J89" s="12">
        <v>4.0</v>
      </c>
      <c r="K89" s="12">
        <v>5.0</v>
      </c>
      <c r="L89" s="12">
        <v>5.0</v>
      </c>
      <c r="M89" s="12">
        <v>5.0</v>
      </c>
      <c r="N89" s="12">
        <v>5.0</v>
      </c>
      <c r="O89" s="12">
        <v>5.0</v>
      </c>
      <c r="P89" s="12">
        <v>10.0</v>
      </c>
    </row>
    <row r="90" ht="22.5" customHeight="1">
      <c r="A90" s="11">
        <v>46142.606398310185</v>
      </c>
      <c r="B90" s="12" t="s">
        <v>22</v>
      </c>
      <c r="C90" s="13">
        <v>46142.0</v>
      </c>
      <c r="D90" s="12" t="s">
        <v>29</v>
      </c>
      <c r="E90" s="12" t="s">
        <v>121</v>
      </c>
      <c r="F90" s="12" t="s">
        <v>30</v>
      </c>
      <c r="G90" s="12" t="s">
        <v>43</v>
      </c>
      <c r="H90" s="12">
        <v>5.0</v>
      </c>
      <c r="I90" s="12">
        <v>5.0</v>
      </c>
      <c r="J90" s="12">
        <v>5.0</v>
      </c>
      <c r="K90" s="12">
        <v>5.0</v>
      </c>
      <c r="L90" s="12">
        <v>5.0</v>
      </c>
      <c r="M90" s="12">
        <v>5.0</v>
      </c>
      <c r="N90" s="12">
        <v>5.0</v>
      </c>
      <c r="O90" s="12">
        <v>5.0</v>
      </c>
      <c r="P90" s="12">
        <v>10.0</v>
      </c>
      <c r="Q90" s="12" t="s">
        <v>71</v>
      </c>
      <c r="R90" s="12" t="s">
        <v>71</v>
      </c>
      <c r="S90" s="14"/>
      <c r="T90" s="14"/>
      <c r="U90" s="14"/>
      <c r="V90" s="14"/>
    </row>
    <row r="91" ht="22.5" customHeight="1">
      <c r="A91" s="11">
        <v>46142.60809846065</v>
      </c>
      <c r="B91" s="12" t="s">
        <v>22</v>
      </c>
      <c r="C91" s="13">
        <v>46142.0</v>
      </c>
      <c r="D91" s="12" t="s">
        <v>29</v>
      </c>
      <c r="E91" s="12" t="s">
        <v>122</v>
      </c>
      <c r="F91" s="12" t="s">
        <v>30</v>
      </c>
      <c r="G91" s="12" t="s">
        <v>43</v>
      </c>
      <c r="H91" s="12">
        <v>4.0</v>
      </c>
      <c r="I91" s="12">
        <v>3.0</v>
      </c>
      <c r="J91" s="12">
        <v>3.0</v>
      </c>
      <c r="K91" s="12">
        <v>4.0</v>
      </c>
      <c r="L91" s="12">
        <v>4.0</v>
      </c>
      <c r="M91" s="12">
        <v>4.0</v>
      </c>
      <c r="N91" s="12">
        <v>3.0</v>
      </c>
      <c r="O91" s="12">
        <v>3.0</v>
      </c>
      <c r="P91" s="12">
        <v>7.0</v>
      </c>
      <c r="Q91" s="12" t="s">
        <v>123</v>
      </c>
      <c r="R91" s="12" t="s">
        <v>124</v>
      </c>
      <c r="S91" s="14"/>
      <c r="T91" s="14"/>
      <c r="U91" s="14"/>
      <c r="V91" s="14"/>
    </row>
    <row r="92" ht="22.5" customHeight="1">
      <c r="A92" s="11">
        <v>46142.61088034722</v>
      </c>
      <c r="B92" s="12" t="s">
        <v>22</v>
      </c>
      <c r="C92" s="13">
        <v>46142.0</v>
      </c>
      <c r="D92" s="12" t="s">
        <v>29</v>
      </c>
      <c r="F92" s="12" t="s">
        <v>25</v>
      </c>
      <c r="G92" s="12" t="s">
        <v>26</v>
      </c>
      <c r="H92" s="12">
        <v>5.0</v>
      </c>
      <c r="I92" s="12">
        <v>5.0</v>
      </c>
      <c r="J92" s="12">
        <v>5.0</v>
      </c>
      <c r="K92" s="12">
        <v>5.0</v>
      </c>
      <c r="L92" s="12">
        <v>5.0</v>
      </c>
      <c r="M92" s="12">
        <v>5.0</v>
      </c>
      <c r="N92" s="12">
        <v>5.0</v>
      </c>
      <c r="O92" s="12">
        <v>5.0</v>
      </c>
      <c r="P92" s="12">
        <v>10.0</v>
      </c>
    </row>
    <row r="93" ht="22.5" customHeight="1">
      <c r="A93" s="11">
        <v>46142.61109002314</v>
      </c>
      <c r="B93" s="12" t="s">
        <v>22</v>
      </c>
      <c r="C93" s="13">
        <v>46142.0</v>
      </c>
      <c r="D93" s="12" t="s">
        <v>29</v>
      </c>
      <c r="F93" s="12" t="s">
        <v>25</v>
      </c>
      <c r="G93" s="12" t="s">
        <v>54</v>
      </c>
      <c r="H93" s="12">
        <v>5.0</v>
      </c>
      <c r="I93" s="12">
        <v>5.0</v>
      </c>
      <c r="J93" s="12">
        <v>5.0</v>
      </c>
      <c r="K93" s="12">
        <v>5.0</v>
      </c>
      <c r="L93" s="12">
        <v>5.0</v>
      </c>
      <c r="M93" s="12">
        <v>5.0</v>
      </c>
      <c r="N93" s="12">
        <v>5.0</v>
      </c>
      <c r="O93" s="12">
        <v>5.0</v>
      </c>
      <c r="P93" s="12">
        <v>10.0</v>
      </c>
    </row>
    <row r="94" ht="22.5" customHeight="1">
      <c r="A94" s="11">
        <v>46142.61640924768</v>
      </c>
      <c r="B94" s="12" t="s">
        <v>22</v>
      </c>
      <c r="C94" s="13">
        <v>46142.0</v>
      </c>
      <c r="D94" s="12" t="s">
        <v>29</v>
      </c>
      <c r="F94" s="12" t="s">
        <v>30</v>
      </c>
      <c r="G94" s="12" t="s">
        <v>43</v>
      </c>
      <c r="H94" s="12">
        <v>5.0</v>
      </c>
      <c r="I94" s="12">
        <v>5.0</v>
      </c>
      <c r="J94" s="12">
        <v>5.0</v>
      </c>
      <c r="K94" s="12">
        <v>5.0</v>
      </c>
      <c r="L94" s="12">
        <v>5.0</v>
      </c>
      <c r="M94" s="12">
        <v>5.0</v>
      </c>
      <c r="N94" s="12">
        <v>5.0</v>
      </c>
      <c r="O94" s="12">
        <v>5.0</v>
      </c>
      <c r="P94" s="12">
        <v>10.0</v>
      </c>
    </row>
    <row r="95" ht="22.5" customHeight="1">
      <c r="A95" s="11">
        <v>46142.61807802084</v>
      </c>
      <c r="B95" s="12" t="s">
        <v>22</v>
      </c>
      <c r="C95" s="13" t="s">
        <v>99</v>
      </c>
      <c r="D95" s="12" t="s">
        <v>29</v>
      </c>
      <c r="E95" s="12" t="s">
        <v>125</v>
      </c>
      <c r="F95" s="12" t="s">
        <v>30</v>
      </c>
      <c r="G95" s="12" t="s">
        <v>69</v>
      </c>
      <c r="H95" s="12">
        <v>4.0</v>
      </c>
      <c r="I95" s="12">
        <v>5.0</v>
      </c>
      <c r="J95" s="12">
        <v>5.0</v>
      </c>
      <c r="K95" s="12">
        <v>5.0</v>
      </c>
      <c r="L95" s="12">
        <v>4.0</v>
      </c>
      <c r="M95" s="12">
        <v>5.0</v>
      </c>
      <c r="N95" s="12">
        <v>4.0</v>
      </c>
      <c r="O95" s="12">
        <v>5.0</v>
      </c>
      <c r="P95" s="12">
        <v>10.0</v>
      </c>
      <c r="Q95" s="12" t="s">
        <v>126</v>
      </c>
      <c r="R95" s="12" t="s">
        <v>127</v>
      </c>
      <c r="S95" s="14"/>
      <c r="T95" s="14"/>
      <c r="U95" s="14"/>
      <c r="V95" s="14"/>
    </row>
    <row r="96" ht="22.5" customHeight="1">
      <c r="A96" s="11">
        <v>46142.62044650463</v>
      </c>
      <c r="B96" s="12" t="s">
        <v>22</v>
      </c>
      <c r="C96" s="13" t="s">
        <v>99</v>
      </c>
      <c r="D96" s="12" t="s">
        <v>29</v>
      </c>
      <c r="E96" s="12" t="s">
        <v>128</v>
      </c>
      <c r="F96" s="12" t="s">
        <v>30</v>
      </c>
      <c r="G96" s="12" t="s">
        <v>69</v>
      </c>
      <c r="H96" s="12">
        <v>4.0</v>
      </c>
      <c r="I96" s="12">
        <v>5.0</v>
      </c>
      <c r="J96" s="12">
        <v>4.0</v>
      </c>
      <c r="K96" s="12">
        <v>5.0</v>
      </c>
      <c r="L96" s="12">
        <v>4.0</v>
      </c>
      <c r="M96" s="12">
        <v>5.0</v>
      </c>
      <c r="N96" s="12">
        <v>5.0</v>
      </c>
      <c r="O96" s="12">
        <v>5.0</v>
      </c>
      <c r="P96" s="12">
        <v>10.0</v>
      </c>
      <c r="Q96" s="12" t="s">
        <v>129</v>
      </c>
      <c r="R96" s="12" t="s">
        <v>37</v>
      </c>
      <c r="S96" s="14"/>
      <c r="T96" s="14"/>
      <c r="U96" s="14"/>
      <c r="V96" s="14"/>
    </row>
    <row r="97" ht="22.5" customHeight="1">
      <c r="A97" s="11">
        <v>46142.624135335645</v>
      </c>
      <c r="B97" s="12" t="s">
        <v>22</v>
      </c>
      <c r="C97" s="13">
        <v>46142.0</v>
      </c>
      <c r="D97" s="12" t="s">
        <v>29</v>
      </c>
      <c r="E97" s="12" t="s">
        <v>130</v>
      </c>
      <c r="F97" s="12" t="s">
        <v>25</v>
      </c>
      <c r="G97" s="12" t="s">
        <v>43</v>
      </c>
      <c r="H97" s="12">
        <v>5.0</v>
      </c>
      <c r="I97" s="12">
        <v>5.0</v>
      </c>
      <c r="J97" s="12">
        <v>5.0</v>
      </c>
      <c r="K97" s="12">
        <v>5.0</v>
      </c>
      <c r="L97" s="12">
        <v>5.0</v>
      </c>
      <c r="M97" s="12">
        <v>5.0</v>
      </c>
      <c r="N97" s="12">
        <v>5.0</v>
      </c>
      <c r="O97" s="12">
        <v>5.0</v>
      </c>
      <c r="P97" s="12">
        <v>10.0</v>
      </c>
    </row>
    <row r="98" ht="22.5" customHeight="1">
      <c r="A98" s="11">
        <v>46142.62697246528</v>
      </c>
      <c r="B98" s="12" t="s">
        <v>22</v>
      </c>
      <c r="C98" s="13">
        <v>46142.0</v>
      </c>
      <c r="D98" s="12" t="s">
        <v>29</v>
      </c>
      <c r="E98" s="12" t="s">
        <v>131</v>
      </c>
      <c r="F98" s="12" t="s">
        <v>25</v>
      </c>
      <c r="G98" s="12" t="s">
        <v>43</v>
      </c>
      <c r="H98" s="12">
        <v>5.0</v>
      </c>
      <c r="I98" s="12">
        <v>5.0</v>
      </c>
      <c r="J98" s="12">
        <v>5.0</v>
      </c>
      <c r="K98" s="12">
        <v>5.0</v>
      </c>
      <c r="L98" s="12">
        <v>5.0</v>
      </c>
      <c r="M98" s="12">
        <v>5.0</v>
      </c>
      <c r="N98" s="12">
        <v>5.0</v>
      </c>
      <c r="O98" s="12">
        <v>5.0</v>
      </c>
      <c r="P98" s="12">
        <v>10.0</v>
      </c>
    </row>
    <row r="99" ht="22.5" customHeight="1">
      <c r="A99" s="11">
        <v>46142.632268773144</v>
      </c>
      <c r="B99" s="12" t="s">
        <v>22</v>
      </c>
      <c r="C99" s="13">
        <v>46142.0</v>
      </c>
      <c r="D99" s="12" t="s">
        <v>29</v>
      </c>
      <c r="F99" s="12" t="s">
        <v>25</v>
      </c>
      <c r="G99" s="12" t="s">
        <v>57</v>
      </c>
      <c r="H99" s="12">
        <v>5.0</v>
      </c>
      <c r="I99" s="12">
        <v>5.0</v>
      </c>
      <c r="J99" s="12">
        <v>5.0</v>
      </c>
      <c r="K99" s="12">
        <v>5.0</v>
      </c>
      <c r="L99" s="12">
        <v>5.0</v>
      </c>
      <c r="M99" s="12">
        <v>5.0</v>
      </c>
      <c r="N99" s="12">
        <v>5.0</v>
      </c>
      <c r="O99" s="12">
        <v>5.0</v>
      </c>
      <c r="P99" s="12">
        <v>8.0</v>
      </c>
      <c r="Q99" s="12" t="s">
        <v>132</v>
      </c>
    </row>
    <row r="100" ht="22.5" customHeight="1">
      <c r="A100" s="11">
        <v>46142.63374659722</v>
      </c>
      <c r="B100" s="12" t="s">
        <v>22</v>
      </c>
      <c r="C100" s="13">
        <v>46142.0</v>
      </c>
      <c r="D100" s="12" t="s">
        <v>29</v>
      </c>
      <c r="E100" s="12">
        <v>3.0</v>
      </c>
      <c r="F100" s="12" t="s">
        <v>25</v>
      </c>
      <c r="G100" s="12" t="s">
        <v>69</v>
      </c>
      <c r="H100" s="12">
        <v>5.0</v>
      </c>
      <c r="I100" s="12">
        <v>5.0</v>
      </c>
      <c r="J100" s="12">
        <v>5.0</v>
      </c>
      <c r="K100" s="12">
        <v>5.0</v>
      </c>
      <c r="L100" s="12">
        <v>5.0</v>
      </c>
      <c r="M100" s="12">
        <v>5.0</v>
      </c>
      <c r="N100" s="12">
        <v>5.0</v>
      </c>
      <c r="O100" s="12">
        <v>5.0</v>
      </c>
      <c r="P100" s="12">
        <v>10.0</v>
      </c>
      <c r="Q100" s="12" t="s">
        <v>133</v>
      </c>
      <c r="R100" s="12" t="s">
        <v>38</v>
      </c>
      <c r="S100" s="14"/>
      <c r="T100" s="14"/>
      <c r="U100" s="14"/>
      <c r="V100" s="14"/>
    </row>
    <row r="101" ht="22.5" customHeight="1">
      <c r="A101" s="11">
        <v>46142.63670878472</v>
      </c>
      <c r="B101" s="12" t="s">
        <v>22</v>
      </c>
      <c r="C101" s="13">
        <v>46142.0</v>
      </c>
      <c r="D101" s="12" t="s">
        <v>29</v>
      </c>
      <c r="F101" s="12" t="s">
        <v>30</v>
      </c>
      <c r="G101" s="12" t="s">
        <v>69</v>
      </c>
      <c r="H101" s="12">
        <v>4.0</v>
      </c>
      <c r="I101" s="12">
        <v>4.0</v>
      </c>
      <c r="J101" s="12">
        <v>4.0</v>
      </c>
      <c r="K101" s="12">
        <v>4.0</v>
      </c>
      <c r="L101" s="12">
        <v>4.0</v>
      </c>
      <c r="M101" s="12">
        <v>4.0</v>
      </c>
      <c r="N101" s="12">
        <v>4.0</v>
      </c>
      <c r="O101" s="12">
        <v>4.0</v>
      </c>
      <c r="P101" s="12">
        <v>8.0</v>
      </c>
    </row>
    <row r="102" ht="22.5" customHeight="1">
      <c r="A102" s="11">
        <v>46142.640076979165</v>
      </c>
      <c r="B102" s="12" t="s">
        <v>22</v>
      </c>
      <c r="C102" s="13">
        <v>46142.0</v>
      </c>
      <c r="D102" s="12" t="s">
        <v>29</v>
      </c>
      <c r="E102" s="12" t="s">
        <v>134</v>
      </c>
      <c r="F102" s="12" t="s">
        <v>30</v>
      </c>
      <c r="G102" s="12" t="s">
        <v>43</v>
      </c>
      <c r="H102" s="12">
        <v>5.0</v>
      </c>
      <c r="I102" s="12">
        <v>5.0</v>
      </c>
      <c r="J102" s="12">
        <v>5.0</v>
      </c>
      <c r="K102" s="12">
        <v>5.0</v>
      </c>
      <c r="L102" s="12">
        <v>5.0</v>
      </c>
      <c r="M102" s="12">
        <v>5.0</v>
      </c>
      <c r="N102" s="12">
        <v>5.0</v>
      </c>
      <c r="O102" s="12">
        <v>5.0</v>
      </c>
      <c r="P102" s="12">
        <v>10.0</v>
      </c>
      <c r="Q102" s="12" t="s">
        <v>135</v>
      </c>
      <c r="R102" s="12" t="s">
        <v>135</v>
      </c>
      <c r="S102" s="14"/>
      <c r="T102" s="14"/>
      <c r="U102" s="14"/>
      <c r="V102" s="14"/>
    </row>
    <row r="103" ht="22.5" customHeight="1">
      <c r="A103" s="11">
        <v>46142.640624074076</v>
      </c>
      <c r="B103" s="12" t="s">
        <v>22</v>
      </c>
      <c r="C103" s="13">
        <v>46142.0</v>
      </c>
      <c r="D103" s="12" t="s">
        <v>29</v>
      </c>
      <c r="E103" s="12" t="s">
        <v>136</v>
      </c>
      <c r="F103" s="12" t="s">
        <v>30</v>
      </c>
      <c r="G103" s="12" t="s">
        <v>43</v>
      </c>
      <c r="H103" s="12">
        <v>4.0</v>
      </c>
      <c r="I103" s="12">
        <v>4.0</v>
      </c>
      <c r="J103" s="12">
        <v>3.0</v>
      </c>
      <c r="K103" s="12">
        <v>3.0</v>
      </c>
      <c r="L103" s="12">
        <v>3.0</v>
      </c>
      <c r="M103" s="12">
        <v>4.0</v>
      </c>
      <c r="N103" s="12">
        <v>4.0</v>
      </c>
      <c r="O103" s="12">
        <v>4.0</v>
      </c>
      <c r="P103" s="12">
        <v>8.0</v>
      </c>
    </row>
    <row r="104" ht="22.5" customHeight="1">
      <c r="A104" s="11">
        <v>46142.650226134254</v>
      </c>
      <c r="B104" s="12" t="s">
        <v>22</v>
      </c>
      <c r="C104" s="13">
        <v>46142.0</v>
      </c>
      <c r="D104" s="12" t="s">
        <v>29</v>
      </c>
      <c r="E104" s="12" t="s">
        <v>137</v>
      </c>
      <c r="F104" s="12" t="s">
        <v>25</v>
      </c>
      <c r="G104" s="12" t="s">
        <v>43</v>
      </c>
      <c r="H104" s="12">
        <v>5.0</v>
      </c>
      <c r="I104" s="12">
        <v>5.0</v>
      </c>
      <c r="J104" s="12">
        <v>5.0</v>
      </c>
      <c r="K104" s="12">
        <v>5.0</v>
      </c>
      <c r="L104" s="12">
        <v>5.0</v>
      </c>
      <c r="M104" s="12">
        <v>5.0</v>
      </c>
      <c r="N104" s="12">
        <v>5.0</v>
      </c>
      <c r="O104" s="12">
        <v>5.0</v>
      </c>
      <c r="P104" s="12">
        <v>10.0</v>
      </c>
      <c r="Q104" s="12" t="s">
        <v>138</v>
      </c>
      <c r="R104" s="12" t="s">
        <v>139</v>
      </c>
      <c r="S104" s="14"/>
      <c r="T104" s="14"/>
      <c r="U104" s="14"/>
      <c r="V104" s="14"/>
    </row>
    <row r="105" ht="22.5" customHeight="1">
      <c r="A105" s="11">
        <v>46142.65471837963</v>
      </c>
      <c r="B105" s="12" t="s">
        <v>22</v>
      </c>
      <c r="C105" s="13">
        <v>46142.0</v>
      </c>
      <c r="D105" s="12" t="s">
        <v>29</v>
      </c>
      <c r="F105" s="12" t="s">
        <v>30</v>
      </c>
      <c r="G105" s="12" t="s">
        <v>69</v>
      </c>
      <c r="H105" s="12">
        <v>4.0</v>
      </c>
      <c r="I105" s="12">
        <v>4.0</v>
      </c>
      <c r="J105" s="12">
        <v>4.0</v>
      </c>
      <c r="K105" s="12">
        <v>4.0</v>
      </c>
      <c r="L105" s="12">
        <v>4.0</v>
      </c>
      <c r="M105" s="12">
        <v>4.0</v>
      </c>
      <c r="N105" s="12">
        <v>4.0</v>
      </c>
      <c r="O105" s="12">
        <v>4.0</v>
      </c>
      <c r="P105" s="12">
        <v>8.0</v>
      </c>
    </row>
    <row r="106" ht="22.5" customHeight="1">
      <c r="A106" s="11">
        <v>46142.65636273148</v>
      </c>
      <c r="B106" s="12" t="s">
        <v>22</v>
      </c>
      <c r="C106" s="13">
        <v>46142.0</v>
      </c>
      <c r="D106" s="12" t="s">
        <v>29</v>
      </c>
      <c r="F106" s="12" t="s">
        <v>30</v>
      </c>
      <c r="G106" s="12" t="s">
        <v>54</v>
      </c>
      <c r="H106" s="12">
        <v>5.0</v>
      </c>
      <c r="I106" s="12">
        <v>5.0</v>
      </c>
      <c r="J106" s="12">
        <v>5.0</v>
      </c>
      <c r="K106" s="12">
        <v>5.0</v>
      </c>
      <c r="L106" s="12">
        <v>5.0</v>
      </c>
      <c r="M106" s="12">
        <v>5.0</v>
      </c>
      <c r="N106" s="12">
        <v>5.0</v>
      </c>
      <c r="O106" s="12">
        <v>5.0</v>
      </c>
      <c r="P106" s="12">
        <v>10.0</v>
      </c>
    </row>
    <row r="107" ht="22.5" customHeight="1">
      <c r="A107" s="11">
        <v>46142.658528796295</v>
      </c>
      <c r="B107" s="12" t="s">
        <v>22</v>
      </c>
      <c r="C107" s="13">
        <v>46142.0</v>
      </c>
      <c r="D107" s="12" t="s">
        <v>29</v>
      </c>
      <c r="E107" s="12" t="s">
        <v>140</v>
      </c>
      <c r="F107" s="12" t="s">
        <v>25</v>
      </c>
      <c r="G107" s="12" t="s">
        <v>69</v>
      </c>
      <c r="I107" s="12">
        <v>5.0</v>
      </c>
      <c r="J107" s="12">
        <v>5.0</v>
      </c>
      <c r="K107" s="12">
        <v>5.0</v>
      </c>
      <c r="L107" s="12">
        <v>5.0</v>
      </c>
      <c r="M107" s="12">
        <v>5.0</v>
      </c>
      <c r="N107" s="12">
        <v>5.0</v>
      </c>
      <c r="O107" s="12">
        <v>5.0</v>
      </c>
      <c r="P107" s="12">
        <v>5.0</v>
      </c>
      <c r="Q107" s="12" t="s">
        <v>141</v>
      </c>
      <c r="R107" s="12" t="s">
        <v>142</v>
      </c>
      <c r="S107" s="14"/>
      <c r="T107" s="14"/>
      <c r="U107" s="14"/>
      <c r="V107" s="14"/>
    </row>
    <row r="108" ht="22.5" customHeight="1">
      <c r="A108" s="11">
        <v>46142.660340208335</v>
      </c>
      <c r="B108" s="12" t="s">
        <v>22</v>
      </c>
      <c r="C108" s="13">
        <v>46142.0</v>
      </c>
      <c r="D108" s="12" t="s">
        <v>29</v>
      </c>
      <c r="F108" s="12" t="s">
        <v>25</v>
      </c>
      <c r="G108" s="12" t="s">
        <v>26</v>
      </c>
      <c r="H108" s="12">
        <v>3.0</v>
      </c>
      <c r="I108" s="12">
        <v>3.0</v>
      </c>
      <c r="J108" s="12">
        <v>4.0</v>
      </c>
      <c r="K108" s="12">
        <v>5.0</v>
      </c>
      <c r="L108" s="12">
        <v>5.0</v>
      </c>
      <c r="M108" s="12">
        <v>4.0</v>
      </c>
      <c r="N108" s="12">
        <v>5.0</v>
      </c>
      <c r="O108" s="12">
        <v>5.0</v>
      </c>
      <c r="P108" s="12">
        <v>7.0</v>
      </c>
    </row>
    <row r="109" ht="22.5" customHeight="1">
      <c r="A109" s="11">
        <v>46142.661094421295</v>
      </c>
      <c r="B109" s="12" t="s">
        <v>22</v>
      </c>
      <c r="C109" s="13">
        <v>46142.0</v>
      </c>
      <c r="D109" s="12" t="s">
        <v>29</v>
      </c>
      <c r="F109" s="12" t="s">
        <v>30</v>
      </c>
      <c r="G109" s="12" t="s">
        <v>26</v>
      </c>
      <c r="H109" s="12">
        <v>4.0</v>
      </c>
      <c r="I109" s="12">
        <v>3.0</v>
      </c>
      <c r="J109" s="12">
        <v>3.0</v>
      </c>
      <c r="K109" s="12">
        <v>3.0</v>
      </c>
      <c r="L109" s="12">
        <v>3.0</v>
      </c>
      <c r="M109" s="12">
        <v>3.0</v>
      </c>
      <c r="N109" s="12">
        <v>3.0</v>
      </c>
      <c r="O109" s="12">
        <v>3.0</v>
      </c>
      <c r="P109" s="12">
        <v>6.0</v>
      </c>
      <c r="Q109" s="12" t="s">
        <v>38</v>
      </c>
      <c r="R109" s="12" t="s">
        <v>38</v>
      </c>
      <c r="S109" s="14"/>
      <c r="T109" s="14"/>
      <c r="U109" s="14"/>
      <c r="V109" s="14"/>
    </row>
    <row r="110" ht="22.5" customHeight="1">
      <c r="A110" s="11">
        <v>46142.66486550926</v>
      </c>
      <c r="B110" s="12" t="s">
        <v>22</v>
      </c>
      <c r="C110" s="13">
        <v>46142.0</v>
      </c>
      <c r="D110" s="12" t="s">
        <v>29</v>
      </c>
      <c r="E110" s="12" t="s">
        <v>143</v>
      </c>
      <c r="F110" s="12" t="s">
        <v>30</v>
      </c>
      <c r="G110" s="12" t="s">
        <v>43</v>
      </c>
      <c r="H110" s="12">
        <v>5.0</v>
      </c>
      <c r="I110" s="12">
        <v>5.0</v>
      </c>
      <c r="J110" s="12">
        <v>5.0</v>
      </c>
      <c r="K110" s="12">
        <v>5.0</v>
      </c>
      <c r="L110" s="12">
        <v>5.0</v>
      </c>
      <c r="M110" s="12">
        <v>5.0</v>
      </c>
      <c r="N110" s="12">
        <v>5.0</v>
      </c>
      <c r="O110" s="12">
        <v>5.0</v>
      </c>
      <c r="P110" s="12">
        <v>10.0</v>
      </c>
      <c r="Q110" s="12" t="s">
        <v>144</v>
      </c>
      <c r="R110" s="12" t="s">
        <v>145</v>
      </c>
      <c r="S110" s="14"/>
      <c r="T110" s="14"/>
      <c r="U110" s="14"/>
      <c r="V110" s="14"/>
    </row>
    <row r="111" ht="22.5" customHeight="1">
      <c r="A111" s="11">
        <v>46142.67760596065</v>
      </c>
      <c r="B111" s="12" t="s">
        <v>22</v>
      </c>
      <c r="C111" s="13" t="s">
        <v>146</v>
      </c>
      <c r="D111" s="12" t="s">
        <v>29</v>
      </c>
      <c r="F111" s="12" t="s">
        <v>30</v>
      </c>
      <c r="G111" s="12" t="s">
        <v>43</v>
      </c>
      <c r="H111" s="12">
        <v>3.0</v>
      </c>
      <c r="I111" s="12">
        <v>1.0</v>
      </c>
      <c r="J111" s="12">
        <v>5.0</v>
      </c>
      <c r="K111" s="12">
        <v>5.0</v>
      </c>
      <c r="L111" s="12">
        <v>3.0</v>
      </c>
      <c r="M111" s="12">
        <v>3.0</v>
      </c>
      <c r="N111" s="12">
        <v>3.0</v>
      </c>
      <c r="O111" s="12">
        <v>2.0</v>
      </c>
      <c r="P111" s="12">
        <v>4.0</v>
      </c>
    </row>
    <row r="112" ht="22.5" customHeight="1">
      <c r="A112" s="11">
        <v>46142.68450171297</v>
      </c>
      <c r="B112" s="12" t="s">
        <v>22</v>
      </c>
      <c r="C112" s="13">
        <v>46142.0</v>
      </c>
      <c r="D112" s="12" t="s">
        <v>29</v>
      </c>
      <c r="F112" s="12" t="s">
        <v>30</v>
      </c>
      <c r="G112" s="12" t="s">
        <v>43</v>
      </c>
      <c r="H112" s="12">
        <v>5.0</v>
      </c>
      <c r="I112" s="12">
        <v>5.0</v>
      </c>
      <c r="J112" s="12">
        <v>5.0</v>
      </c>
      <c r="K112" s="12">
        <v>5.0</v>
      </c>
      <c r="L112" s="12">
        <v>5.0</v>
      </c>
      <c r="M112" s="12">
        <v>5.0</v>
      </c>
      <c r="N112" s="12">
        <v>5.0</v>
      </c>
      <c r="O112" s="12">
        <v>5.0</v>
      </c>
      <c r="P112" s="12">
        <v>10.0</v>
      </c>
    </row>
    <row r="113" ht="22.5" customHeight="1">
      <c r="A113" s="11">
        <v>46142.68480717593</v>
      </c>
      <c r="B113" s="12" t="s">
        <v>22</v>
      </c>
      <c r="C113" s="13">
        <v>46142.0</v>
      </c>
      <c r="D113" s="12" t="s">
        <v>29</v>
      </c>
      <c r="F113" s="12" t="s">
        <v>25</v>
      </c>
      <c r="G113" s="12" t="s">
        <v>43</v>
      </c>
      <c r="H113" s="12">
        <v>3.0</v>
      </c>
      <c r="I113" s="12">
        <v>4.0</v>
      </c>
      <c r="J113" s="12">
        <v>4.0</v>
      </c>
      <c r="K113" s="12">
        <v>4.0</v>
      </c>
      <c r="L113" s="12">
        <v>4.0</v>
      </c>
      <c r="M113" s="12">
        <v>3.0</v>
      </c>
      <c r="N113" s="12">
        <v>3.0</v>
      </c>
      <c r="O113" s="12">
        <v>4.0</v>
      </c>
      <c r="P113" s="12">
        <v>7.0</v>
      </c>
      <c r="Q113" s="12" t="s">
        <v>38</v>
      </c>
      <c r="R113" s="12" t="s">
        <v>147</v>
      </c>
      <c r="S113" s="14"/>
      <c r="T113" s="14"/>
      <c r="U113" s="14"/>
      <c r="V113" s="14"/>
    </row>
    <row r="114" ht="22.5" customHeight="1">
      <c r="A114" s="11">
        <v>46142.69080851851</v>
      </c>
      <c r="B114" s="12" t="s">
        <v>22</v>
      </c>
      <c r="C114" s="13">
        <v>46127.0</v>
      </c>
      <c r="D114" s="12" t="s">
        <v>29</v>
      </c>
      <c r="E114" s="12" t="s">
        <v>148</v>
      </c>
      <c r="F114" s="12" t="s">
        <v>30</v>
      </c>
      <c r="G114" s="12" t="s">
        <v>26</v>
      </c>
      <c r="H114" s="12">
        <v>3.0</v>
      </c>
      <c r="I114" s="12">
        <v>3.0</v>
      </c>
      <c r="J114" s="12">
        <v>3.0</v>
      </c>
      <c r="K114" s="12">
        <v>3.0</v>
      </c>
      <c r="L114" s="12">
        <v>3.0</v>
      </c>
      <c r="M114" s="12">
        <v>3.0</v>
      </c>
      <c r="N114" s="12">
        <v>3.0</v>
      </c>
      <c r="O114" s="12">
        <v>3.0</v>
      </c>
      <c r="P114" s="12">
        <v>8.0</v>
      </c>
    </row>
    <row r="115" ht="22.5" customHeight="1">
      <c r="A115" s="11">
        <v>46142.69285328704</v>
      </c>
      <c r="B115" s="12" t="s">
        <v>22</v>
      </c>
      <c r="C115" s="13" t="s">
        <v>99</v>
      </c>
      <c r="D115" s="12" t="s">
        <v>29</v>
      </c>
      <c r="E115" s="12" t="s">
        <v>149</v>
      </c>
      <c r="F115" s="12" t="s">
        <v>30</v>
      </c>
      <c r="G115" s="12" t="s">
        <v>150</v>
      </c>
      <c r="H115" s="12">
        <v>4.0</v>
      </c>
      <c r="I115" s="12">
        <v>3.0</v>
      </c>
      <c r="J115" s="12">
        <v>4.0</v>
      </c>
      <c r="K115" s="12">
        <v>5.0</v>
      </c>
      <c r="L115" s="12">
        <v>5.0</v>
      </c>
      <c r="M115" s="12">
        <v>3.0</v>
      </c>
      <c r="N115" s="12">
        <v>3.0</v>
      </c>
      <c r="O115" s="12">
        <v>3.0</v>
      </c>
      <c r="P115" s="12">
        <v>8.0</v>
      </c>
      <c r="Q115" s="12" t="s">
        <v>151</v>
      </c>
      <c r="R115" s="12" t="s">
        <v>38</v>
      </c>
      <c r="S115" s="14"/>
      <c r="T115" s="14"/>
      <c r="U115" s="14"/>
      <c r="V115" s="14"/>
    </row>
    <row r="116" ht="22.5" customHeight="1">
      <c r="A116" s="11">
        <v>46142.69302116898</v>
      </c>
      <c r="B116" s="12" t="s">
        <v>22</v>
      </c>
      <c r="C116" s="13">
        <v>46142.0</v>
      </c>
      <c r="D116" s="12" t="s">
        <v>29</v>
      </c>
      <c r="E116" s="12" t="s">
        <v>67</v>
      </c>
      <c r="F116" s="12" t="s">
        <v>30</v>
      </c>
      <c r="G116" s="12" t="s">
        <v>69</v>
      </c>
      <c r="H116" s="12">
        <v>4.0</v>
      </c>
      <c r="I116" s="12">
        <v>4.0</v>
      </c>
      <c r="J116" s="12">
        <v>5.0</v>
      </c>
      <c r="K116" s="12">
        <v>4.0</v>
      </c>
      <c r="L116" s="12">
        <v>5.0</v>
      </c>
      <c r="M116" s="12">
        <v>5.0</v>
      </c>
      <c r="N116" s="12">
        <v>4.0</v>
      </c>
      <c r="O116" s="12">
        <v>4.0</v>
      </c>
      <c r="P116" s="12">
        <v>9.0</v>
      </c>
    </row>
    <row r="117" ht="22.5" customHeight="1">
      <c r="A117" s="11">
        <v>46142.694532615744</v>
      </c>
      <c r="B117" s="12" t="s">
        <v>22</v>
      </c>
      <c r="C117" s="13">
        <v>46142.0</v>
      </c>
      <c r="D117" s="12" t="s">
        <v>29</v>
      </c>
      <c r="E117" s="12" t="s">
        <v>152</v>
      </c>
      <c r="F117" s="12" t="s">
        <v>30</v>
      </c>
      <c r="G117" s="12" t="s">
        <v>69</v>
      </c>
      <c r="H117" s="12">
        <v>4.0</v>
      </c>
      <c r="I117" s="12">
        <v>4.0</v>
      </c>
      <c r="J117" s="12">
        <v>5.0</v>
      </c>
      <c r="K117" s="12">
        <v>4.0</v>
      </c>
      <c r="L117" s="12">
        <v>4.0</v>
      </c>
      <c r="M117" s="12">
        <v>4.0</v>
      </c>
      <c r="N117" s="12">
        <v>4.0</v>
      </c>
      <c r="O117" s="12">
        <v>4.0</v>
      </c>
      <c r="P117" s="12">
        <v>8.0</v>
      </c>
      <c r="Q117" s="12" t="s">
        <v>153</v>
      </c>
      <c r="R117" s="12" t="s">
        <v>154</v>
      </c>
      <c r="S117" s="14"/>
      <c r="T117" s="14"/>
      <c r="U117" s="14"/>
      <c r="V117" s="14"/>
    </row>
    <row r="118" ht="22.5" customHeight="1">
      <c r="A118" s="11">
        <v>46142.69765663194</v>
      </c>
      <c r="B118" s="12" t="s">
        <v>22</v>
      </c>
      <c r="C118" s="13">
        <v>46142.0</v>
      </c>
      <c r="D118" s="12" t="s">
        <v>29</v>
      </c>
      <c r="F118" s="12" t="s">
        <v>30</v>
      </c>
      <c r="G118" s="12" t="s">
        <v>43</v>
      </c>
      <c r="H118" s="12">
        <v>4.0</v>
      </c>
      <c r="I118" s="12">
        <v>4.0</v>
      </c>
      <c r="J118" s="12">
        <v>4.0</v>
      </c>
      <c r="K118" s="12">
        <v>4.0</v>
      </c>
      <c r="L118" s="12">
        <v>4.0</v>
      </c>
      <c r="M118" s="12">
        <v>4.0</v>
      </c>
      <c r="N118" s="12">
        <v>4.0</v>
      </c>
      <c r="O118" s="12">
        <v>4.0</v>
      </c>
      <c r="P118" s="12">
        <v>4.0</v>
      </c>
      <c r="Q118" s="12" t="s">
        <v>155</v>
      </c>
      <c r="R118" s="12" t="s">
        <v>156</v>
      </c>
      <c r="S118" s="14"/>
      <c r="T118" s="14"/>
      <c r="U118" s="14"/>
      <c r="V118" s="14"/>
    </row>
    <row r="119" ht="22.5" customHeight="1">
      <c r="A119" s="11">
        <v>46142.69878744213</v>
      </c>
      <c r="B119" s="12" t="s">
        <v>22</v>
      </c>
      <c r="C119" s="13">
        <v>46142.0</v>
      </c>
      <c r="D119" s="12" t="s">
        <v>29</v>
      </c>
      <c r="E119" s="12" t="s">
        <v>157</v>
      </c>
      <c r="F119" s="12" t="s">
        <v>30</v>
      </c>
      <c r="G119" s="12" t="s">
        <v>26</v>
      </c>
      <c r="H119" s="12">
        <v>5.0</v>
      </c>
      <c r="I119" s="12">
        <v>5.0</v>
      </c>
      <c r="J119" s="12">
        <v>5.0</v>
      </c>
      <c r="K119" s="12">
        <v>5.0</v>
      </c>
      <c r="L119" s="12">
        <v>5.0</v>
      </c>
      <c r="M119" s="12">
        <v>5.0</v>
      </c>
      <c r="N119" s="12">
        <v>5.0</v>
      </c>
      <c r="O119" s="12">
        <v>5.0</v>
      </c>
      <c r="P119" s="12">
        <v>5.0</v>
      </c>
      <c r="Q119" s="12" t="s">
        <v>158</v>
      </c>
      <c r="R119" s="12" t="s">
        <v>159</v>
      </c>
      <c r="S119" s="14"/>
      <c r="T119" s="14"/>
      <c r="U119" s="14"/>
      <c r="V119" s="14"/>
    </row>
    <row r="120" ht="22.5" customHeight="1">
      <c r="A120" s="11">
        <v>46142.69889414352</v>
      </c>
      <c r="B120" s="12" t="s">
        <v>22</v>
      </c>
      <c r="C120" s="13">
        <v>46142.0</v>
      </c>
      <c r="D120" s="12" t="s">
        <v>29</v>
      </c>
      <c r="E120" s="12" t="s">
        <v>160</v>
      </c>
      <c r="F120" s="12" t="s">
        <v>30</v>
      </c>
      <c r="G120" s="12" t="s">
        <v>26</v>
      </c>
      <c r="H120" s="12">
        <v>5.0</v>
      </c>
      <c r="I120" s="12">
        <v>5.0</v>
      </c>
      <c r="J120" s="12">
        <v>5.0</v>
      </c>
      <c r="K120" s="12">
        <v>5.0</v>
      </c>
      <c r="L120" s="12">
        <v>5.0</v>
      </c>
      <c r="M120" s="12">
        <v>5.0</v>
      </c>
      <c r="N120" s="12">
        <v>5.0</v>
      </c>
      <c r="O120" s="12">
        <v>5.0</v>
      </c>
      <c r="P120" s="12">
        <v>10.0</v>
      </c>
      <c r="Q120" s="12" t="s">
        <v>161</v>
      </c>
      <c r="R120" s="12" t="s">
        <v>71</v>
      </c>
      <c r="S120" s="14"/>
      <c r="T120" s="14"/>
      <c r="U120" s="14"/>
      <c r="V120" s="14"/>
    </row>
    <row r="121" ht="22.5" customHeight="1">
      <c r="A121" s="11">
        <v>46142.70959979166</v>
      </c>
      <c r="B121" s="12" t="s">
        <v>22</v>
      </c>
      <c r="C121" s="13">
        <v>46142.0</v>
      </c>
      <c r="D121" s="12" t="s">
        <v>29</v>
      </c>
      <c r="F121" s="12" t="s">
        <v>30</v>
      </c>
      <c r="G121" s="12" t="s">
        <v>43</v>
      </c>
      <c r="H121" s="12">
        <v>3.0</v>
      </c>
      <c r="I121" s="12">
        <v>4.0</v>
      </c>
      <c r="J121" s="12">
        <v>3.0</v>
      </c>
      <c r="K121" s="12">
        <v>4.0</v>
      </c>
      <c r="L121" s="12">
        <v>4.0</v>
      </c>
      <c r="M121" s="12">
        <v>3.0</v>
      </c>
      <c r="N121" s="12">
        <v>3.0</v>
      </c>
      <c r="O121" s="12">
        <v>3.0</v>
      </c>
      <c r="P121" s="12">
        <v>7.0</v>
      </c>
      <c r="Q121" s="12" t="s">
        <v>162</v>
      </c>
      <c r="R121" s="12" t="s">
        <v>163</v>
      </c>
      <c r="S121" s="14"/>
      <c r="T121" s="14"/>
      <c r="U121" s="14"/>
      <c r="V121" s="14"/>
    </row>
    <row r="122" ht="22.5" customHeight="1">
      <c r="A122" s="11">
        <v>46142.71325854167</v>
      </c>
      <c r="B122" s="12" t="s">
        <v>22</v>
      </c>
      <c r="C122" s="13">
        <v>46142.0</v>
      </c>
      <c r="D122" s="12" t="s">
        <v>29</v>
      </c>
      <c r="E122" s="12" t="s">
        <v>85</v>
      </c>
      <c r="F122" s="12" t="s">
        <v>25</v>
      </c>
      <c r="G122" s="12" t="s">
        <v>43</v>
      </c>
      <c r="H122" s="12">
        <v>5.0</v>
      </c>
      <c r="I122" s="12">
        <v>5.0</v>
      </c>
      <c r="J122" s="12">
        <v>5.0</v>
      </c>
      <c r="K122" s="12">
        <v>5.0</v>
      </c>
      <c r="L122" s="12">
        <v>5.0</v>
      </c>
      <c r="M122" s="12">
        <v>5.0</v>
      </c>
      <c r="N122" s="12">
        <v>5.0</v>
      </c>
      <c r="O122" s="12">
        <v>5.0</v>
      </c>
      <c r="P122" s="12">
        <v>10.0</v>
      </c>
    </row>
    <row r="123" ht="22.5" customHeight="1">
      <c r="A123" s="11">
        <v>46142.714347789355</v>
      </c>
      <c r="B123" s="12" t="s">
        <v>22</v>
      </c>
      <c r="C123" s="13">
        <v>46142.0</v>
      </c>
      <c r="D123" s="12" t="s">
        <v>29</v>
      </c>
      <c r="E123" s="12" t="s">
        <v>164</v>
      </c>
      <c r="F123" s="12" t="s">
        <v>30</v>
      </c>
      <c r="G123" s="12" t="s">
        <v>43</v>
      </c>
      <c r="H123" s="12">
        <v>4.0</v>
      </c>
      <c r="I123" s="12">
        <v>5.0</v>
      </c>
      <c r="J123" s="12">
        <v>5.0</v>
      </c>
      <c r="K123" s="12">
        <v>4.0</v>
      </c>
      <c r="L123" s="12">
        <v>5.0</v>
      </c>
      <c r="M123" s="12">
        <v>4.0</v>
      </c>
      <c r="N123" s="12">
        <v>5.0</v>
      </c>
      <c r="O123" s="12">
        <v>5.0</v>
      </c>
      <c r="P123" s="12">
        <v>8.0</v>
      </c>
    </row>
    <row r="124" ht="22.5" customHeight="1">
      <c r="A124" s="11">
        <v>46142.719666840276</v>
      </c>
      <c r="B124" s="12" t="s">
        <v>22</v>
      </c>
      <c r="C124" s="13">
        <v>46142.0</v>
      </c>
      <c r="D124" s="12" t="s">
        <v>29</v>
      </c>
      <c r="F124" s="12" t="s">
        <v>30</v>
      </c>
      <c r="G124" s="12" t="s">
        <v>69</v>
      </c>
      <c r="H124" s="12">
        <v>5.0</v>
      </c>
      <c r="I124" s="12">
        <v>3.0</v>
      </c>
      <c r="J124" s="12">
        <v>5.0</v>
      </c>
      <c r="K124" s="12">
        <v>5.0</v>
      </c>
      <c r="L124" s="12">
        <v>5.0</v>
      </c>
      <c r="M124" s="12">
        <v>5.0</v>
      </c>
      <c r="N124" s="12">
        <v>5.0</v>
      </c>
      <c r="O124" s="12">
        <v>5.0</v>
      </c>
      <c r="P124" s="12">
        <v>10.0</v>
      </c>
      <c r="Q124" s="12" t="s">
        <v>44</v>
      </c>
      <c r="R124" s="12" t="s">
        <v>97</v>
      </c>
      <c r="S124" s="14"/>
      <c r="T124" s="14"/>
      <c r="U124" s="14"/>
      <c r="V124" s="14"/>
    </row>
    <row r="125" ht="22.5" customHeight="1">
      <c r="A125" s="11">
        <v>46142.73365446759</v>
      </c>
      <c r="B125" s="12" t="s">
        <v>22</v>
      </c>
      <c r="C125" s="13">
        <v>46142.0</v>
      </c>
      <c r="D125" s="12" t="s">
        <v>29</v>
      </c>
      <c r="F125" s="12" t="s">
        <v>30</v>
      </c>
      <c r="G125" s="12" t="s">
        <v>43</v>
      </c>
      <c r="H125" s="12">
        <v>5.0</v>
      </c>
      <c r="I125" s="12">
        <v>5.0</v>
      </c>
      <c r="J125" s="12">
        <v>5.0</v>
      </c>
      <c r="K125" s="12">
        <v>5.0</v>
      </c>
      <c r="L125" s="12">
        <v>5.0</v>
      </c>
      <c r="M125" s="12">
        <v>5.0</v>
      </c>
      <c r="N125" s="12">
        <v>5.0</v>
      </c>
      <c r="O125" s="12">
        <v>5.0</v>
      </c>
      <c r="P125" s="12">
        <v>10.0</v>
      </c>
    </row>
    <row r="126" ht="22.5" customHeight="1">
      <c r="A126" s="11">
        <v>46142.73573078704</v>
      </c>
      <c r="B126" s="12" t="s">
        <v>22</v>
      </c>
      <c r="C126" s="13">
        <v>46142.0</v>
      </c>
      <c r="D126" s="12" t="s">
        <v>29</v>
      </c>
      <c r="E126" s="12" t="s">
        <v>165</v>
      </c>
      <c r="F126" s="12" t="s">
        <v>30</v>
      </c>
      <c r="G126" s="12" t="s">
        <v>43</v>
      </c>
      <c r="H126" s="12">
        <v>5.0</v>
      </c>
      <c r="I126" s="12">
        <v>5.0</v>
      </c>
      <c r="J126" s="12">
        <v>5.0</v>
      </c>
      <c r="K126" s="12">
        <v>4.0</v>
      </c>
      <c r="L126" s="12">
        <v>3.0</v>
      </c>
      <c r="M126" s="12">
        <v>5.0</v>
      </c>
      <c r="N126" s="12">
        <v>5.0</v>
      </c>
      <c r="O126" s="12">
        <v>5.0</v>
      </c>
      <c r="P126" s="12">
        <v>8.0</v>
      </c>
      <c r="Q126" s="12" t="s">
        <v>166</v>
      </c>
      <c r="R126" s="12" t="s">
        <v>167</v>
      </c>
      <c r="S126" s="14"/>
      <c r="T126" s="14"/>
      <c r="U126" s="14"/>
      <c r="V126" s="14"/>
    </row>
    <row r="127" ht="22.5" customHeight="1">
      <c r="A127" s="11">
        <v>46142.73754982639</v>
      </c>
      <c r="B127" s="12" t="s">
        <v>22</v>
      </c>
      <c r="C127" s="13">
        <v>46142.0</v>
      </c>
      <c r="D127" s="12" t="s">
        <v>29</v>
      </c>
      <c r="E127" s="12" t="s">
        <v>168</v>
      </c>
      <c r="F127" s="12" t="s">
        <v>25</v>
      </c>
      <c r="G127" s="12" t="s">
        <v>43</v>
      </c>
      <c r="H127" s="12">
        <v>4.0</v>
      </c>
      <c r="I127" s="12">
        <v>4.0</v>
      </c>
      <c r="J127" s="12">
        <v>4.0</v>
      </c>
      <c r="K127" s="12">
        <v>4.0</v>
      </c>
      <c r="L127" s="12">
        <v>4.0</v>
      </c>
      <c r="M127" s="12">
        <v>4.0</v>
      </c>
      <c r="N127" s="12">
        <v>4.0</v>
      </c>
      <c r="O127" s="12">
        <v>4.0</v>
      </c>
      <c r="P127" s="12">
        <v>7.0</v>
      </c>
    </row>
    <row r="128" ht="22.5" customHeight="1">
      <c r="A128" s="11">
        <v>46142.74047615741</v>
      </c>
      <c r="B128" s="12" t="s">
        <v>22</v>
      </c>
      <c r="C128" s="13">
        <v>46069.0</v>
      </c>
      <c r="D128" s="12" t="s">
        <v>29</v>
      </c>
      <c r="E128" s="12" t="s">
        <v>41</v>
      </c>
      <c r="F128" s="12" t="s">
        <v>25</v>
      </c>
      <c r="G128" s="12" t="s">
        <v>43</v>
      </c>
      <c r="H128" s="12">
        <v>5.0</v>
      </c>
      <c r="I128" s="12">
        <v>4.0</v>
      </c>
      <c r="J128" s="12">
        <v>5.0</v>
      </c>
      <c r="K128" s="12">
        <v>5.0</v>
      </c>
      <c r="L128" s="12">
        <v>5.0</v>
      </c>
      <c r="M128" s="12">
        <v>5.0</v>
      </c>
      <c r="N128" s="12">
        <v>5.0</v>
      </c>
      <c r="O128" s="12">
        <v>4.0</v>
      </c>
      <c r="P128" s="12">
        <v>10.0</v>
      </c>
      <c r="Q128" s="12" t="s">
        <v>41</v>
      </c>
      <c r="R128" s="12" t="s">
        <v>41</v>
      </c>
      <c r="S128" s="14"/>
      <c r="T128" s="14"/>
      <c r="U128" s="14"/>
      <c r="V128" s="14"/>
    </row>
    <row r="129" ht="22.5" customHeight="1">
      <c r="A129" s="11">
        <v>46142.748422743054</v>
      </c>
      <c r="B129" s="12" t="s">
        <v>22</v>
      </c>
      <c r="C129" s="13">
        <v>46142.0</v>
      </c>
      <c r="D129" s="12" t="s">
        <v>29</v>
      </c>
      <c r="F129" s="12" t="s">
        <v>25</v>
      </c>
      <c r="G129" s="12" t="s">
        <v>43</v>
      </c>
      <c r="H129" s="12">
        <v>5.0</v>
      </c>
      <c r="I129" s="12">
        <v>5.0</v>
      </c>
      <c r="J129" s="12">
        <v>5.0</v>
      </c>
      <c r="K129" s="12">
        <v>5.0</v>
      </c>
      <c r="L129" s="12">
        <v>5.0</v>
      </c>
      <c r="M129" s="12">
        <v>5.0</v>
      </c>
      <c r="N129" s="12">
        <v>5.0</v>
      </c>
      <c r="O129" s="12">
        <v>5.0</v>
      </c>
      <c r="P129" s="12">
        <v>9.0</v>
      </c>
    </row>
    <row r="130" ht="22.5" customHeight="1">
      <c r="A130" s="11">
        <v>46142.750991574074</v>
      </c>
      <c r="B130" s="12" t="s">
        <v>22</v>
      </c>
      <c r="C130" s="13">
        <v>46142.0</v>
      </c>
      <c r="D130" s="12" t="s">
        <v>29</v>
      </c>
      <c r="F130" s="12" t="s">
        <v>25</v>
      </c>
      <c r="G130" s="12" t="s">
        <v>26</v>
      </c>
      <c r="H130" s="12">
        <v>5.0</v>
      </c>
      <c r="I130" s="12">
        <v>5.0</v>
      </c>
      <c r="J130" s="12">
        <v>5.0</v>
      </c>
      <c r="K130" s="12">
        <v>5.0</v>
      </c>
      <c r="L130" s="12">
        <v>5.0</v>
      </c>
      <c r="M130" s="12">
        <v>5.0</v>
      </c>
      <c r="N130" s="12">
        <v>5.0</v>
      </c>
      <c r="O130" s="12">
        <v>5.0</v>
      </c>
      <c r="P130" s="12">
        <v>8.0</v>
      </c>
    </row>
    <row r="131" ht="22.5" customHeight="1">
      <c r="A131" s="11">
        <v>46142.7544834375</v>
      </c>
      <c r="B131" s="12" t="s">
        <v>22</v>
      </c>
      <c r="C131" s="13">
        <v>39346.0</v>
      </c>
      <c r="D131" s="12" t="s">
        <v>29</v>
      </c>
      <c r="E131" s="12" t="s">
        <v>46</v>
      </c>
      <c r="F131" s="12" t="s">
        <v>25</v>
      </c>
      <c r="G131" s="12" t="s">
        <v>69</v>
      </c>
      <c r="H131" s="12">
        <v>4.0</v>
      </c>
      <c r="I131" s="12">
        <v>4.0</v>
      </c>
      <c r="J131" s="12">
        <v>4.0</v>
      </c>
      <c r="K131" s="12">
        <v>4.0</v>
      </c>
      <c r="L131" s="12">
        <v>4.0</v>
      </c>
      <c r="M131" s="12">
        <v>4.0</v>
      </c>
      <c r="N131" s="12">
        <v>4.0</v>
      </c>
      <c r="O131" s="12">
        <v>4.0</v>
      </c>
      <c r="P131" s="12">
        <v>8.0</v>
      </c>
      <c r="Q131" s="12" t="s">
        <v>41</v>
      </c>
      <c r="R131" s="12" t="s">
        <v>41</v>
      </c>
      <c r="S131" s="14"/>
      <c r="T131" s="14"/>
      <c r="U131" s="14"/>
      <c r="V131" s="14"/>
    </row>
    <row r="132" ht="22.5" customHeight="1">
      <c r="A132" s="11">
        <v>46142.75678780093</v>
      </c>
      <c r="B132" s="12" t="s">
        <v>22</v>
      </c>
      <c r="C132" s="13">
        <v>46142.0</v>
      </c>
      <c r="D132" s="12" t="s">
        <v>29</v>
      </c>
      <c r="E132" s="12" t="s">
        <v>169</v>
      </c>
      <c r="F132" s="12" t="s">
        <v>25</v>
      </c>
      <c r="G132" s="12" t="s">
        <v>170</v>
      </c>
      <c r="H132" s="12">
        <v>5.0</v>
      </c>
      <c r="I132" s="12">
        <v>5.0</v>
      </c>
      <c r="J132" s="12">
        <v>5.0</v>
      </c>
      <c r="K132" s="12">
        <v>5.0</v>
      </c>
      <c r="L132" s="12">
        <v>4.0</v>
      </c>
      <c r="M132" s="12">
        <v>4.0</v>
      </c>
      <c r="N132" s="12">
        <v>4.0</v>
      </c>
      <c r="O132" s="12">
        <v>5.0</v>
      </c>
      <c r="P132" s="12">
        <v>8.0</v>
      </c>
      <c r="Q132" s="12" t="s">
        <v>171</v>
      </c>
      <c r="R132" s="12" t="s">
        <v>172</v>
      </c>
      <c r="S132" s="14"/>
      <c r="T132" s="14"/>
      <c r="U132" s="14"/>
      <c r="V132" s="14"/>
    </row>
    <row r="133" ht="22.5" customHeight="1">
      <c r="A133" s="11">
        <v>46142.770080601855</v>
      </c>
      <c r="B133" s="12" t="s">
        <v>22</v>
      </c>
      <c r="C133" s="13">
        <v>46142.0</v>
      </c>
      <c r="D133" s="12" t="s">
        <v>29</v>
      </c>
      <c r="E133" s="12" t="s">
        <v>173</v>
      </c>
      <c r="F133" s="12" t="s">
        <v>30</v>
      </c>
      <c r="G133" s="12" t="s">
        <v>69</v>
      </c>
      <c r="H133" s="12">
        <v>3.0</v>
      </c>
      <c r="I133" s="12">
        <v>3.0</v>
      </c>
      <c r="J133" s="12">
        <v>3.0</v>
      </c>
      <c r="K133" s="12">
        <v>4.0</v>
      </c>
      <c r="L133" s="12">
        <v>2.0</v>
      </c>
      <c r="M133" s="12">
        <v>3.0</v>
      </c>
      <c r="N133" s="12">
        <v>4.0</v>
      </c>
      <c r="O133" s="12">
        <v>4.0</v>
      </c>
      <c r="P133" s="12">
        <v>6.0</v>
      </c>
    </row>
    <row r="134" ht="22.5" customHeight="1">
      <c r="A134" s="11">
        <v>46142.771771099535</v>
      </c>
      <c r="B134" s="12" t="s">
        <v>22</v>
      </c>
      <c r="C134" s="13">
        <v>46142.0</v>
      </c>
      <c r="D134" s="12" t="s">
        <v>29</v>
      </c>
      <c r="F134" s="12" t="s">
        <v>30</v>
      </c>
      <c r="G134" s="12" t="s">
        <v>69</v>
      </c>
      <c r="H134" s="12">
        <v>3.0</v>
      </c>
      <c r="I134" s="12">
        <v>5.0</v>
      </c>
      <c r="J134" s="12">
        <v>5.0</v>
      </c>
      <c r="K134" s="12">
        <v>5.0</v>
      </c>
      <c r="L134" s="12">
        <v>5.0</v>
      </c>
      <c r="M134" s="12">
        <v>3.0</v>
      </c>
      <c r="N134" s="12">
        <v>4.0</v>
      </c>
      <c r="O134" s="12">
        <v>5.0</v>
      </c>
      <c r="P134" s="12">
        <v>8.0</v>
      </c>
    </row>
    <row r="135" ht="22.5" customHeight="1">
      <c r="A135" s="11">
        <v>46142.774882349535</v>
      </c>
      <c r="B135" s="12" t="s">
        <v>22</v>
      </c>
      <c r="C135" s="13">
        <v>46142.0</v>
      </c>
      <c r="D135" s="12" t="s">
        <v>29</v>
      </c>
      <c r="E135" s="12" t="s">
        <v>85</v>
      </c>
      <c r="F135" s="12" t="s">
        <v>25</v>
      </c>
      <c r="G135" s="12" t="s">
        <v>26</v>
      </c>
      <c r="H135" s="12">
        <v>5.0</v>
      </c>
      <c r="I135" s="12">
        <v>5.0</v>
      </c>
      <c r="J135" s="12">
        <v>5.0</v>
      </c>
      <c r="K135" s="12">
        <v>5.0</v>
      </c>
      <c r="L135" s="12">
        <v>5.0</v>
      </c>
      <c r="M135" s="12">
        <v>5.0</v>
      </c>
      <c r="N135" s="12">
        <v>5.0</v>
      </c>
      <c r="O135" s="12">
        <v>5.0</v>
      </c>
      <c r="P135" s="12">
        <v>10.0</v>
      </c>
    </row>
    <row r="136" ht="22.5" customHeight="1">
      <c r="A136" s="11">
        <v>46142.77972344907</v>
      </c>
      <c r="B136" s="12" t="s">
        <v>22</v>
      </c>
      <c r="C136" s="13">
        <v>46142.0</v>
      </c>
      <c r="D136" s="12" t="s">
        <v>29</v>
      </c>
      <c r="F136" s="12" t="s">
        <v>25</v>
      </c>
      <c r="G136" s="12" t="s">
        <v>43</v>
      </c>
      <c r="H136" s="12">
        <v>4.0</v>
      </c>
      <c r="I136" s="12">
        <v>5.0</v>
      </c>
      <c r="J136" s="12">
        <v>4.0</v>
      </c>
      <c r="K136" s="12">
        <v>4.0</v>
      </c>
      <c r="L136" s="12">
        <v>4.0</v>
      </c>
      <c r="M136" s="12">
        <v>4.0</v>
      </c>
      <c r="N136" s="12">
        <v>4.0</v>
      </c>
      <c r="O136" s="12">
        <v>4.0</v>
      </c>
      <c r="P136" s="12">
        <v>7.0</v>
      </c>
      <c r="Q136" s="12" t="s">
        <v>174</v>
      </c>
      <c r="R136" s="12" t="s">
        <v>175</v>
      </c>
      <c r="S136" s="14"/>
      <c r="T136" s="14"/>
      <c r="U136" s="14"/>
      <c r="V136" s="14"/>
    </row>
    <row r="137" ht="22.5" customHeight="1">
      <c r="A137" s="11">
        <v>46142.78853847222</v>
      </c>
      <c r="B137" s="12" t="s">
        <v>22</v>
      </c>
      <c r="C137" s="13">
        <v>46141.0</v>
      </c>
      <c r="D137" s="12" t="s">
        <v>29</v>
      </c>
      <c r="E137" s="12" t="s">
        <v>176</v>
      </c>
      <c r="F137" s="12" t="s">
        <v>30</v>
      </c>
      <c r="G137" s="12" t="s">
        <v>177</v>
      </c>
      <c r="H137" s="12">
        <v>5.0</v>
      </c>
      <c r="I137" s="12">
        <v>5.0</v>
      </c>
      <c r="J137" s="12">
        <v>5.0</v>
      </c>
      <c r="K137" s="12">
        <v>5.0</v>
      </c>
      <c r="L137" s="12">
        <v>5.0</v>
      </c>
      <c r="M137" s="12">
        <v>5.0</v>
      </c>
      <c r="N137" s="12">
        <v>5.0</v>
      </c>
      <c r="O137" s="12">
        <v>5.0</v>
      </c>
      <c r="P137" s="12">
        <v>10.0</v>
      </c>
    </row>
    <row r="138" ht="22.5" customHeight="1">
      <c r="A138" s="11">
        <v>46142.795160891204</v>
      </c>
      <c r="B138" s="12" t="s">
        <v>22</v>
      </c>
      <c r="C138" s="13">
        <v>46142.0</v>
      </c>
      <c r="D138" s="12" t="s">
        <v>29</v>
      </c>
      <c r="F138" s="12" t="s">
        <v>30</v>
      </c>
      <c r="G138" s="12" t="s">
        <v>43</v>
      </c>
      <c r="H138" s="12">
        <v>5.0</v>
      </c>
      <c r="I138" s="12">
        <v>5.0</v>
      </c>
      <c r="J138" s="12">
        <v>5.0</v>
      </c>
      <c r="K138" s="12">
        <v>5.0</v>
      </c>
      <c r="L138" s="12">
        <v>5.0</v>
      </c>
      <c r="M138" s="12">
        <v>5.0</v>
      </c>
      <c r="N138" s="12">
        <v>5.0</v>
      </c>
      <c r="O138" s="12">
        <v>5.0</v>
      </c>
      <c r="P138" s="12">
        <v>10.0</v>
      </c>
    </row>
    <row r="139" ht="22.5" customHeight="1">
      <c r="A139" s="11">
        <v>46142.799301238425</v>
      </c>
      <c r="B139" s="12" t="s">
        <v>22</v>
      </c>
      <c r="C139" s="13">
        <v>39388.0</v>
      </c>
      <c r="D139" s="12" t="s">
        <v>29</v>
      </c>
      <c r="F139" s="12" t="s">
        <v>30</v>
      </c>
      <c r="G139" s="12" t="s">
        <v>43</v>
      </c>
      <c r="H139" s="12">
        <v>5.0</v>
      </c>
      <c r="I139" s="12">
        <v>5.0</v>
      </c>
      <c r="J139" s="12">
        <v>5.0</v>
      </c>
      <c r="K139" s="12">
        <v>5.0</v>
      </c>
      <c r="L139" s="12">
        <v>5.0</v>
      </c>
      <c r="M139" s="12">
        <v>5.0</v>
      </c>
      <c r="N139" s="12">
        <v>5.0</v>
      </c>
      <c r="O139" s="12">
        <v>5.0</v>
      </c>
      <c r="P139" s="12">
        <v>8.0</v>
      </c>
    </row>
    <row r="140" ht="22.5" customHeight="1">
      <c r="A140" s="11">
        <v>46142.80453350695</v>
      </c>
      <c r="B140" s="12" t="s">
        <v>22</v>
      </c>
      <c r="C140" s="13">
        <v>46142.0</v>
      </c>
      <c r="D140" s="12" t="s">
        <v>29</v>
      </c>
      <c r="F140" s="12" t="s">
        <v>30</v>
      </c>
      <c r="G140" s="12" t="s">
        <v>43</v>
      </c>
      <c r="H140" s="12">
        <v>3.0</v>
      </c>
      <c r="I140" s="12">
        <v>3.0</v>
      </c>
      <c r="J140" s="12">
        <v>3.0</v>
      </c>
      <c r="K140" s="12">
        <v>3.0</v>
      </c>
      <c r="L140" s="12">
        <v>3.0</v>
      </c>
      <c r="M140" s="12">
        <v>4.0</v>
      </c>
      <c r="N140" s="12">
        <v>4.0</v>
      </c>
      <c r="O140" s="12">
        <v>4.0</v>
      </c>
      <c r="P140" s="12">
        <v>7.0</v>
      </c>
      <c r="Q140" s="12" t="s">
        <v>178</v>
      </c>
      <c r="R140" s="12" t="s">
        <v>71</v>
      </c>
      <c r="S140" s="14"/>
      <c r="T140" s="14"/>
      <c r="U140" s="14"/>
      <c r="V140" s="14"/>
    </row>
    <row r="141" ht="22.5" customHeight="1">
      <c r="A141" s="11">
        <v>46142.805722060184</v>
      </c>
      <c r="B141" s="12" t="s">
        <v>22</v>
      </c>
      <c r="C141" s="13" t="s">
        <v>99</v>
      </c>
      <c r="D141" s="12" t="s">
        <v>29</v>
      </c>
      <c r="E141" s="12" t="s">
        <v>179</v>
      </c>
      <c r="F141" s="12" t="s">
        <v>30</v>
      </c>
      <c r="G141" s="12" t="s">
        <v>69</v>
      </c>
      <c r="H141" s="12">
        <v>4.0</v>
      </c>
      <c r="I141" s="12">
        <v>4.0</v>
      </c>
      <c r="J141" s="12">
        <v>3.0</v>
      </c>
      <c r="K141" s="12">
        <v>3.0</v>
      </c>
      <c r="L141" s="12">
        <v>4.0</v>
      </c>
      <c r="M141" s="12">
        <v>4.0</v>
      </c>
      <c r="N141" s="12">
        <v>5.0</v>
      </c>
      <c r="O141" s="12">
        <v>4.0</v>
      </c>
      <c r="P141" s="12">
        <v>8.0</v>
      </c>
    </row>
    <row r="142" ht="22.5" customHeight="1">
      <c r="A142" s="11">
        <v>46142.80631025463</v>
      </c>
      <c r="B142" s="12" t="s">
        <v>22</v>
      </c>
      <c r="C142" s="13" t="s">
        <v>99</v>
      </c>
      <c r="D142" s="12" t="s">
        <v>29</v>
      </c>
      <c r="F142" s="12" t="s">
        <v>30</v>
      </c>
      <c r="G142" s="12" t="s">
        <v>43</v>
      </c>
      <c r="H142" s="12">
        <v>5.0</v>
      </c>
      <c r="I142" s="12">
        <v>5.0</v>
      </c>
      <c r="J142" s="12">
        <v>5.0</v>
      </c>
      <c r="K142" s="12">
        <v>5.0</v>
      </c>
      <c r="L142" s="12">
        <v>5.0</v>
      </c>
      <c r="M142" s="12">
        <v>5.0</v>
      </c>
      <c r="N142" s="12">
        <v>5.0</v>
      </c>
      <c r="O142" s="12">
        <v>5.0</v>
      </c>
      <c r="P142" s="12">
        <v>10.0</v>
      </c>
      <c r="Q142" s="12" t="s">
        <v>180</v>
      </c>
      <c r="R142" s="12" t="s">
        <v>181</v>
      </c>
      <c r="S142" s="14"/>
      <c r="T142" s="14"/>
      <c r="U142" s="14"/>
      <c r="V142" s="14"/>
    </row>
    <row r="143" ht="22.5" customHeight="1">
      <c r="A143" s="11">
        <v>46142.81001084491</v>
      </c>
      <c r="B143" s="12" t="s">
        <v>22</v>
      </c>
      <c r="C143" s="13">
        <v>46142.0</v>
      </c>
      <c r="D143" s="12" t="s">
        <v>29</v>
      </c>
      <c r="F143" s="12" t="s">
        <v>30</v>
      </c>
      <c r="G143" s="12" t="s">
        <v>43</v>
      </c>
      <c r="H143" s="12">
        <v>3.0</v>
      </c>
      <c r="I143" s="12">
        <v>3.0</v>
      </c>
      <c r="J143" s="12">
        <v>5.0</v>
      </c>
      <c r="K143" s="12">
        <v>4.0</v>
      </c>
      <c r="L143" s="12">
        <v>5.0</v>
      </c>
      <c r="M143" s="12">
        <v>4.0</v>
      </c>
      <c r="N143" s="12">
        <v>3.0</v>
      </c>
      <c r="O143" s="12">
        <v>4.0</v>
      </c>
      <c r="P143" s="12">
        <v>9.0</v>
      </c>
      <c r="Q143" s="12" t="s">
        <v>182</v>
      </c>
      <c r="R143" s="12" t="s">
        <v>183</v>
      </c>
      <c r="S143" s="14"/>
      <c r="T143" s="14"/>
      <c r="U143" s="14"/>
      <c r="V143" s="14"/>
    </row>
    <row r="144" ht="22.5" customHeight="1">
      <c r="A144" s="11">
        <v>46142.81052611111</v>
      </c>
      <c r="B144" s="12" t="s">
        <v>22</v>
      </c>
      <c r="C144" s="13">
        <v>39316.0</v>
      </c>
      <c r="D144" s="12" t="s">
        <v>29</v>
      </c>
      <c r="F144" s="12" t="s">
        <v>30</v>
      </c>
      <c r="G144" s="12" t="s">
        <v>26</v>
      </c>
      <c r="H144" s="12">
        <v>2.0</v>
      </c>
      <c r="I144" s="12">
        <v>3.0</v>
      </c>
      <c r="J144" s="12">
        <v>4.0</v>
      </c>
      <c r="K144" s="12">
        <v>2.0</v>
      </c>
      <c r="L144" s="12">
        <v>4.0</v>
      </c>
      <c r="M144" s="12">
        <v>4.0</v>
      </c>
      <c r="N144" s="12">
        <v>3.0</v>
      </c>
      <c r="O144" s="12">
        <v>3.0</v>
      </c>
      <c r="P144" s="12">
        <v>6.0</v>
      </c>
    </row>
    <row r="145" ht="22.5" customHeight="1">
      <c r="A145" s="11">
        <v>46142.81346643518</v>
      </c>
      <c r="B145" s="12" t="s">
        <v>22</v>
      </c>
      <c r="C145" s="13">
        <v>39432.0</v>
      </c>
      <c r="D145" s="12" t="s">
        <v>29</v>
      </c>
      <c r="F145" s="12" t="s">
        <v>25</v>
      </c>
      <c r="G145" s="12" t="s">
        <v>26</v>
      </c>
      <c r="H145" s="12">
        <v>5.0</v>
      </c>
      <c r="I145" s="12">
        <v>5.0</v>
      </c>
      <c r="J145" s="12">
        <v>5.0</v>
      </c>
      <c r="K145" s="12">
        <v>5.0</v>
      </c>
      <c r="L145" s="12">
        <v>5.0</v>
      </c>
      <c r="M145" s="12">
        <v>5.0</v>
      </c>
      <c r="N145" s="12">
        <v>5.0</v>
      </c>
      <c r="O145" s="12">
        <v>5.0</v>
      </c>
      <c r="P145" s="12">
        <v>10.0</v>
      </c>
    </row>
    <row r="146" ht="22.5" customHeight="1">
      <c r="A146" s="11">
        <v>46142.83794710648</v>
      </c>
      <c r="B146" s="12" t="s">
        <v>22</v>
      </c>
      <c r="C146" s="13">
        <v>46142.0</v>
      </c>
      <c r="D146" s="12" t="s">
        <v>29</v>
      </c>
      <c r="F146" s="12" t="s">
        <v>30</v>
      </c>
      <c r="G146" s="12" t="s">
        <v>43</v>
      </c>
      <c r="H146" s="12">
        <v>4.0</v>
      </c>
      <c r="I146" s="12">
        <v>4.0</v>
      </c>
      <c r="J146" s="12">
        <v>4.0</v>
      </c>
      <c r="K146" s="12">
        <v>4.0</v>
      </c>
      <c r="L146" s="12">
        <v>4.0</v>
      </c>
      <c r="M146" s="12">
        <v>4.0</v>
      </c>
      <c r="N146" s="12">
        <v>4.0</v>
      </c>
      <c r="O146" s="12">
        <v>4.0</v>
      </c>
      <c r="P146" s="12">
        <v>8.0</v>
      </c>
    </row>
    <row r="147" ht="22.5" customHeight="1">
      <c r="A147" s="11">
        <v>46142.87021814815</v>
      </c>
      <c r="B147" s="12" t="s">
        <v>22</v>
      </c>
      <c r="C147" s="13">
        <v>46142.0</v>
      </c>
      <c r="D147" s="12" t="s">
        <v>29</v>
      </c>
      <c r="F147" s="12" t="s">
        <v>30</v>
      </c>
      <c r="G147" s="12" t="s">
        <v>69</v>
      </c>
      <c r="H147" s="12">
        <v>4.0</v>
      </c>
      <c r="I147" s="12">
        <v>5.0</v>
      </c>
      <c r="J147" s="12">
        <v>4.0</v>
      </c>
      <c r="K147" s="12">
        <v>4.0</v>
      </c>
      <c r="L147" s="12">
        <v>5.0</v>
      </c>
      <c r="M147" s="12">
        <v>3.0</v>
      </c>
      <c r="N147" s="12">
        <v>5.0</v>
      </c>
      <c r="O147" s="12">
        <v>4.0</v>
      </c>
      <c r="P147" s="12">
        <v>8.0</v>
      </c>
    </row>
    <row r="148" ht="22.5" customHeight="1">
      <c r="A148" s="11">
        <v>46142.87890438657</v>
      </c>
      <c r="B148" s="12" t="s">
        <v>22</v>
      </c>
      <c r="C148" s="13">
        <v>46142.0</v>
      </c>
      <c r="D148" s="12" t="s">
        <v>29</v>
      </c>
      <c r="E148" s="12" t="s">
        <v>184</v>
      </c>
      <c r="F148" s="12" t="s">
        <v>30</v>
      </c>
      <c r="G148" s="12" t="s">
        <v>54</v>
      </c>
      <c r="H148" s="12">
        <v>4.0</v>
      </c>
      <c r="I148" s="12">
        <v>3.0</v>
      </c>
      <c r="J148" s="12">
        <v>4.0</v>
      </c>
      <c r="K148" s="12">
        <v>3.0</v>
      </c>
      <c r="L148" s="12">
        <v>4.0</v>
      </c>
      <c r="M148" s="12">
        <v>5.0</v>
      </c>
      <c r="N148" s="12">
        <v>4.0</v>
      </c>
      <c r="O148" s="12">
        <v>4.0</v>
      </c>
      <c r="P148" s="12">
        <v>9.0</v>
      </c>
    </row>
    <row r="149" ht="22.5" customHeight="1">
      <c r="A149" s="11">
        <v>46142.88791440972</v>
      </c>
      <c r="B149" s="12" t="s">
        <v>22</v>
      </c>
      <c r="C149" s="13">
        <v>46142.0</v>
      </c>
      <c r="D149" s="12" t="s">
        <v>29</v>
      </c>
      <c r="F149" s="12" t="s">
        <v>30</v>
      </c>
      <c r="G149" s="12" t="s">
        <v>43</v>
      </c>
      <c r="H149" s="12">
        <v>4.0</v>
      </c>
      <c r="I149" s="12">
        <v>3.0</v>
      </c>
      <c r="J149" s="12">
        <v>3.0</v>
      </c>
      <c r="K149" s="12">
        <v>3.0</v>
      </c>
      <c r="L149" s="12">
        <v>3.0</v>
      </c>
      <c r="M149" s="12">
        <v>3.0</v>
      </c>
      <c r="N149" s="12">
        <v>3.0</v>
      </c>
      <c r="O149" s="12">
        <v>4.0</v>
      </c>
      <c r="P149" s="12">
        <v>6.0</v>
      </c>
    </row>
    <row r="150" ht="22.5" customHeight="1">
      <c r="A150" s="11">
        <v>46142.901567650464</v>
      </c>
      <c r="B150" s="12" t="s">
        <v>22</v>
      </c>
      <c r="C150" s="13">
        <v>46142.0</v>
      </c>
      <c r="D150" s="12" t="s">
        <v>29</v>
      </c>
      <c r="E150" s="12" t="s">
        <v>85</v>
      </c>
      <c r="F150" s="12" t="s">
        <v>25</v>
      </c>
      <c r="G150" s="12" t="s">
        <v>43</v>
      </c>
      <c r="H150" s="12">
        <v>4.0</v>
      </c>
      <c r="I150" s="12">
        <v>4.0</v>
      </c>
      <c r="J150" s="12">
        <v>3.0</v>
      </c>
      <c r="K150" s="12">
        <v>3.0</v>
      </c>
      <c r="L150" s="12">
        <v>3.0</v>
      </c>
      <c r="M150" s="12">
        <v>3.0</v>
      </c>
      <c r="N150" s="12">
        <v>4.0</v>
      </c>
      <c r="O150" s="12">
        <v>4.0</v>
      </c>
      <c r="P150" s="12">
        <v>7.0</v>
      </c>
    </row>
    <row r="151" ht="22.5" customHeight="1">
      <c r="A151" s="11">
        <v>46142.90215608796</v>
      </c>
      <c r="B151" s="12" t="s">
        <v>22</v>
      </c>
      <c r="C151" s="13">
        <v>46142.0</v>
      </c>
      <c r="D151" s="12" t="s">
        <v>29</v>
      </c>
      <c r="F151" s="12" t="s">
        <v>30</v>
      </c>
      <c r="G151" s="12" t="s">
        <v>69</v>
      </c>
      <c r="H151" s="12">
        <v>4.0</v>
      </c>
      <c r="I151" s="12">
        <v>4.0</v>
      </c>
      <c r="J151" s="12">
        <v>4.0</v>
      </c>
      <c r="K151" s="12">
        <v>4.0</v>
      </c>
      <c r="L151" s="12">
        <v>5.0</v>
      </c>
      <c r="M151" s="12">
        <v>5.0</v>
      </c>
      <c r="N151" s="12">
        <v>5.0</v>
      </c>
      <c r="O151" s="12">
        <v>5.0</v>
      </c>
      <c r="P151" s="12">
        <v>9.0</v>
      </c>
    </row>
    <row r="152" ht="22.5" customHeight="1">
      <c r="A152" s="11">
        <v>46142.90368283565</v>
      </c>
      <c r="B152" s="12" t="s">
        <v>22</v>
      </c>
      <c r="C152" s="13">
        <v>46142.0</v>
      </c>
      <c r="D152" s="12" t="s">
        <v>29</v>
      </c>
      <c r="F152" s="12" t="s">
        <v>30</v>
      </c>
      <c r="G152" s="12" t="s">
        <v>69</v>
      </c>
      <c r="H152" s="12">
        <v>5.0</v>
      </c>
      <c r="I152" s="12">
        <v>5.0</v>
      </c>
      <c r="J152" s="12">
        <v>5.0</v>
      </c>
      <c r="K152" s="12">
        <v>5.0</v>
      </c>
      <c r="L152" s="12">
        <v>5.0</v>
      </c>
      <c r="M152" s="12">
        <v>4.0</v>
      </c>
      <c r="N152" s="12">
        <v>4.0</v>
      </c>
      <c r="O152" s="12">
        <v>4.0</v>
      </c>
      <c r="P152" s="12">
        <v>9.0</v>
      </c>
    </row>
    <row r="153" ht="22.5" customHeight="1">
      <c r="A153" s="11">
        <v>46142.93856725695</v>
      </c>
      <c r="B153" s="12" t="s">
        <v>22</v>
      </c>
      <c r="C153" s="13">
        <v>46142.0</v>
      </c>
      <c r="D153" s="12" t="s">
        <v>29</v>
      </c>
      <c r="E153" s="12" t="s">
        <v>104</v>
      </c>
      <c r="F153" s="12" t="s">
        <v>30</v>
      </c>
      <c r="G153" s="12" t="s">
        <v>69</v>
      </c>
      <c r="H153" s="12">
        <v>4.0</v>
      </c>
      <c r="I153" s="12">
        <v>5.0</v>
      </c>
      <c r="J153" s="12">
        <v>5.0</v>
      </c>
      <c r="K153" s="12">
        <v>4.0</v>
      </c>
      <c r="L153" s="12">
        <v>4.0</v>
      </c>
      <c r="M153" s="12">
        <v>4.0</v>
      </c>
      <c r="N153" s="12">
        <v>4.0</v>
      </c>
      <c r="O153" s="12">
        <v>5.0</v>
      </c>
      <c r="P153" s="12">
        <v>10.0</v>
      </c>
    </row>
    <row r="154" ht="22.5" customHeight="1">
      <c r="A154" s="11">
        <v>46142.943708182866</v>
      </c>
      <c r="B154" s="12" t="s">
        <v>22</v>
      </c>
      <c r="C154" s="13">
        <v>46142.0</v>
      </c>
      <c r="D154" s="12" t="s">
        <v>29</v>
      </c>
      <c r="F154" s="12" t="s">
        <v>30</v>
      </c>
      <c r="G154" s="12" t="s">
        <v>185</v>
      </c>
      <c r="H154" s="12">
        <v>3.0</v>
      </c>
      <c r="I154" s="12">
        <v>3.0</v>
      </c>
      <c r="J154" s="12">
        <v>3.0</v>
      </c>
      <c r="K154" s="12">
        <v>4.0</v>
      </c>
      <c r="L154" s="12">
        <v>3.0</v>
      </c>
      <c r="M154" s="12">
        <v>3.0</v>
      </c>
      <c r="N154" s="12">
        <v>4.0</v>
      </c>
      <c r="O154" s="12">
        <v>3.0</v>
      </c>
      <c r="P154" s="12">
        <v>7.0</v>
      </c>
    </row>
    <row r="155" ht="22.5" customHeight="1">
      <c r="A155" s="11">
        <v>46142.97104892361</v>
      </c>
      <c r="B155" s="12" t="s">
        <v>22</v>
      </c>
      <c r="C155" s="13">
        <v>46142.0</v>
      </c>
      <c r="D155" s="12" t="s">
        <v>29</v>
      </c>
      <c r="E155" s="12" t="s">
        <v>186</v>
      </c>
      <c r="F155" s="12" t="s">
        <v>30</v>
      </c>
      <c r="G155" s="12" t="s">
        <v>43</v>
      </c>
      <c r="H155" s="12">
        <v>5.0</v>
      </c>
      <c r="I155" s="12">
        <v>4.0</v>
      </c>
      <c r="J155" s="12">
        <v>4.0</v>
      </c>
      <c r="K155" s="12">
        <v>4.0</v>
      </c>
      <c r="L155" s="12">
        <v>4.0</v>
      </c>
      <c r="M155" s="12">
        <v>5.0</v>
      </c>
      <c r="N155" s="12">
        <v>5.0</v>
      </c>
      <c r="O155" s="12">
        <v>4.0</v>
      </c>
      <c r="P155" s="12">
        <v>9.0</v>
      </c>
    </row>
    <row r="156" ht="22.5" customHeight="1">
      <c r="A156" s="11">
        <v>46143.00777055556</v>
      </c>
      <c r="B156" s="12" t="s">
        <v>22</v>
      </c>
      <c r="C156" s="13">
        <v>46142.0</v>
      </c>
      <c r="D156" s="12" t="s">
        <v>29</v>
      </c>
      <c r="E156" s="12" t="s">
        <v>187</v>
      </c>
      <c r="F156" s="12" t="s">
        <v>30</v>
      </c>
      <c r="G156" s="12" t="s">
        <v>43</v>
      </c>
      <c r="H156" s="12">
        <v>5.0</v>
      </c>
      <c r="I156" s="12">
        <v>5.0</v>
      </c>
      <c r="J156" s="12">
        <v>5.0</v>
      </c>
      <c r="K156" s="12">
        <v>5.0</v>
      </c>
      <c r="L156" s="12">
        <v>5.0</v>
      </c>
      <c r="M156" s="12">
        <v>5.0</v>
      </c>
      <c r="N156" s="12">
        <v>5.0</v>
      </c>
      <c r="O156" s="12">
        <v>5.0</v>
      </c>
      <c r="P156" s="12">
        <v>6.0</v>
      </c>
      <c r="Q156" s="12" t="s">
        <v>38</v>
      </c>
      <c r="R156" s="12" t="s">
        <v>71</v>
      </c>
      <c r="S156" s="14"/>
      <c r="T156" s="14"/>
      <c r="U156" s="14"/>
      <c r="V156" s="14"/>
    </row>
    <row r="157" ht="22.5" customHeight="1">
      <c r="A157" s="11">
        <v>46143.17543070602</v>
      </c>
      <c r="B157" s="12" t="s">
        <v>22</v>
      </c>
      <c r="C157" s="13">
        <v>46137.0</v>
      </c>
      <c r="D157" s="12" t="s">
        <v>29</v>
      </c>
      <c r="E157" s="12" t="s">
        <v>143</v>
      </c>
      <c r="F157" s="12" t="s">
        <v>30</v>
      </c>
      <c r="G157" s="12" t="s">
        <v>43</v>
      </c>
      <c r="H157" s="12">
        <v>5.0</v>
      </c>
      <c r="I157" s="12">
        <v>5.0</v>
      </c>
      <c r="J157" s="12">
        <v>5.0</v>
      </c>
      <c r="K157" s="12">
        <v>5.0</v>
      </c>
      <c r="L157" s="12">
        <v>5.0</v>
      </c>
      <c r="M157" s="12">
        <v>4.0</v>
      </c>
      <c r="N157" s="12">
        <v>5.0</v>
      </c>
      <c r="O157" s="12">
        <v>5.0</v>
      </c>
      <c r="P157" s="12">
        <v>10.0</v>
      </c>
      <c r="Q157" s="12" t="s">
        <v>188</v>
      </c>
      <c r="R157" s="12" t="s">
        <v>189</v>
      </c>
      <c r="S157" s="14"/>
      <c r="T157" s="14"/>
      <c r="U157" s="14"/>
      <c r="V157" s="14"/>
    </row>
    <row r="158" ht="22.5" customHeight="1">
      <c r="A158" s="11">
        <v>46143.448335023146</v>
      </c>
      <c r="B158" s="12" t="s">
        <v>22</v>
      </c>
      <c r="C158" s="13">
        <v>46143.0</v>
      </c>
      <c r="D158" s="12" t="s">
        <v>29</v>
      </c>
      <c r="E158" s="12" t="s">
        <v>137</v>
      </c>
      <c r="F158" s="12" t="s">
        <v>68</v>
      </c>
      <c r="G158" s="12" t="s">
        <v>62</v>
      </c>
      <c r="H158" s="12">
        <v>5.0</v>
      </c>
      <c r="I158" s="12">
        <v>4.0</v>
      </c>
      <c r="J158" s="12">
        <v>4.0</v>
      </c>
      <c r="K158" s="12">
        <v>3.0</v>
      </c>
      <c r="L158" s="12">
        <v>4.0</v>
      </c>
      <c r="M158" s="12">
        <v>3.0</v>
      </c>
      <c r="N158" s="12">
        <v>3.0</v>
      </c>
      <c r="O158" s="12">
        <v>3.0</v>
      </c>
      <c r="P158" s="12">
        <v>9.0</v>
      </c>
      <c r="Q158" s="12" t="s">
        <v>44</v>
      </c>
      <c r="R158" s="12" t="s">
        <v>71</v>
      </c>
      <c r="S158" s="14"/>
      <c r="T158" s="14"/>
      <c r="U158" s="14"/>
      <c r="V158" s="14"/>
    </row>
    <row r="159" ht="22.5" customHeight="1">
      <c r="A159" s="11">
        <v>46143.48308640046</v>
      </c>
      <c r="B159" s="12" t="s">
        <v>22</v>
      </c>
      <c r="C159" s="13">
        <v>46143.0</v>
      </c>
      <c r="D159" s="12" t="s">
        <v>29</v>
      </c>
      <c r="F159" s="12" t="s">
        <v>30</v>
      </c>
      <c r="G159" s="12" t="s">
        <v>69</v>
      </c>
      <c r="H159" s="12">
        <v>4.0</v>
      </c>
      <c r="I159" s="12">
        <v>5.0</v>
      </c>
      <c r="J159" s="12">
        <v>5.0</v>
      </c>
      <c r="K159" s="12">
        <v>5.0</v>
      </c>
      <c r="L159" s="12">
        <v>5.0</v>
      </c>
      <c r="M159" s="12">
        <v>5.0</v>
      </c>
      <c r="N159" s="12">
        <v>5.0</v>
      </c>
      <c r="O159" s="12">
        <v>5.0</v>
      </c>
      <c r="P159" s="12">
        <v>9.0</v>
      </c>
      <c r="Q159" s="12" t="s">
        <v>190</v>
      </c>
      <c r="R159" s="12" t="s">
        <v>38</v>
      </c>
      <c r="S159" s="14"/>
      <c r="T159" s="14"/>
      <c r="U159" s="14"/>
      <c r="V159" s="14"/>
    </row>
    <row r="160" ht="22.5" customHeight="1">
      <c r="A160" s="11">
        <v>46143.512155439814</v>
      </c>
      <c r="B160" s="12" t="s">
        <v>22</v>
      </c>
      <c r="C160" s="13" t="s">
        <v>191</v>
      </c>
      <c r="D160" s="12" t="s">
        <v>29</v>
      </c>
      <c r="E160" s="12" t="s">
        <v>192</v>
      </c>
      <c r="F160" s="12" t="s">
        <v>30</v>
      </c>
      <c r="G160" s="12" t="s">
        <v>69</v>
      </c>
      <c r="H160" s="12">
        <v>4.0</v>
      </c>
      <c r="I160" s="12">
        <v>4.0</v>
      </c>
      <c r="J160" s="12">
        <v>4.0</v>
      </c>
      <c r="K160" s="12">
        <v>5.0</v>
      </c>
      <c r="L160" s="12">
        <v>3.0</v>
      </c>
      <c r="M160" s="12">
        <v>4.0</v>
      </c>
      <c r="N160" s="12">
        <v>4.0</v>
      </c>
      <c r="O160" s="12">
        <v>4.0</v>
      </c>
      <c r="P160" s="12">
        <v>9.0</v>
      </c>
      <c r="Q160" s="12" t="s">
        <v>71</v>
      </c>
      <c r="R160" s="12" t="s">
        <v>120</v>
      </c>
      <c r="S160" s="14"/>
      <c r="T160" s="14"/>
      <c r="U160" s="14"/>
      <c r="V160" s="14"/>
    </row>
    <row r="161" ht="22.5" customHeight="1">
      <c r="A161" s="11">
        <v>46143.58867030093</v>
      </c>
      <c r="B161" s="12" t="s">
        <v>22</v>
      </c>
      <c r="C161" s="13">
        <v>46143.0</v>
      </c>
      <c r="D161" s="12" t="s">
        <v>29</v>
      </c>
      <c r="E161" s="12" t="s">
        <v>193</v>
      </c>
      <c r="F161" s="12" t="s">
        <v>30</v>
      </c>
      <c r="G161" s="12" t="s">
        <v>43</v>
      </c>
      <c r="H161" s="12">
        <v>5.0</v>
      </c>
      <c r="I161" s="12">
        <v>5.0</v>
      </c>
      <c r="J161" s="12">
        <v>5.0</v>
      </c>
      <c r="K161" s="12">
        <v>5.0</v>
      </c>
      <c r="L161" s="12">
        <v>5.0</v>
      </c>
      <c r="M161" s="12">
        <v>5.0</v>
      </c>
      <c r="N161" s="12">
        <v>5.0</v>
      </c>
      <c r="O161" s="12">
        <v>5.0</v>
      </c>
      <c r="P161" s="12">
        <v>10.0</v>
      </c>
      <c r="Q161" s="12" t="s">
        <v>194</v>
      </c>
      <c r="R161" s="12" t="s">
        <v>37</v>
      </c>
      <c r="S161" s="14"/>
      <c r="T161" s="14"/>
      <c r="U161" s="14"/>
      <c r="V161" s="14"/>
    </row>
    <row r="162" ht="22.5" customHeight="1">
      <c r="A162" s="11">
        <v>46143.59430158565</v>
      </c>
      <c r="B162" s="12" t="s">
        <v>22</v>
      </c>
      <c r="C162" s="13">
        <v>46143.0</v>
      </c>
      <c r="D162" s="12" t="s">
        <v>29</v>
      </c>
      <c r="F162" s="12" t="s">
        <v>30</v>
      </c>
      <c r="G162" s="12" t="s">
        <v>43</v>
      </c>
      <c r="H162" s="12">
        <v>5.0</v>
      </c>
      <c r="I162" s="12">
        <v>5.0</v>
      </c>
      <c r="J162" s="12">
        <v>5.0</v>
      </c>
      <c r="K162" s="12">
        <v>5.0</v>
      </c>
      <c r="L162" s="12">
        <v>5.0</v>
      </c>
      <c r="M162" s="12">
        <v>5.0</v>
      </c>
      <c r="N162" s="12">
        <v>4.0</v>
      </c>
      <c r="O162" s="12">
        <v>5.0</v>
      </c>
      <c r="P162" s="12">
        <v>10.0</v>
      </c>
    </row>
    <row r="163" ht="22.5" customHeight="1">
      <c r="A163" s="11">
        <v>46143.60409898148</v>
      </c>
      <c r="B163" s="12" t="s">
        <v>22</v>
      </c>
      <c r="C163" s="13">
        <v>46143.0</v>
      </c>
      <c r="D163" s="12" t="s">
        <v>29</v>
      </c>
      <c r="F163" s="12" t="s">
        <v>30</v>
      </c>
      <c r="G163" s="12" t="s">
        <v>43</v>
      </c>
      <c r="H163" s="12">
        <v>3.0</v>
      </c>
      <c r="I163" s="12">
        <v>4.0</v>
      </c>
      <c r="J163" s="12">
        <v>4.0</v>
      </c>
      <c r="K163" s="12">
        <v>4.0</v>
      </c>
      <c r="L163" s="12">
        <v>4.0</v>
      </c>
      <c r="M163" s="12">
        <v>4.0</v>
      </c>
      <c r="N163" s="12">
        <v>4.0</v>
      </c>
      <c r="O163" s="12">
        <v>4.0</v>
      </c>
      <c r="P163" s="12">
        <v>9.0</v>
      </c>
      <c r="Q163" s="12" t="s">
        <v>79</v>
      </c>
      <c r="R163" s="12" t="s">
        <v>195</v>
      </c>
      <c r="S163" s="14"/>
      <c r="T163" s="14"/>
      <c r="U163" s="14"/>
      <c r="V163" s="14"/>
    </row>
    <row r="164" ht="22.5" customHeight="1">
      <c r="A164" s="11">
        <v>46143.634140625</v>
      </c>
      <c r="B164" s="12" t="s">
        <v>22</v>
      </c>
      <c r="C164" s="13">
        <v>39262.0</v>
      </c>
      <c r="D164" s="12" t="s">
        <v>29</v>
      </c>
      <c r="F164" s="12" t="s">
        <v>30</v>
      </c>
      <c r="G164" s="12" t="s">
        <v>43</v>
      </c>
      <c r="H164" s="12">
        <v>3.0</v>
      </c>
      <c r="I164" s="12">
        <v>2.0</v>
      </c>
      <c r="J164" s="12">
        <v>3.0</v>
      </c>
      <c r="K164" s="12">
        <v>3.0</v>
      </c>
      <c r="L164" s="12">
        <v>3.0</v>
      </c>
      <c r="M164" s="12">
        <v>3.0</v>
      </c>
      <c r="N164" s="12">
        <v>3.0</v>
      </c>
      <c r="O164" s="12">
        <v>3.0</v>
      </c>
      <c r="P164" s="12">
        <v>3.0</v>
      </c>
    </row>
    <row r="165" ht="22.5" customHeight="1">
      <c r="A165" s="11">
        <v>46143.758872025464</v>
      </c>
      <c r="B165" s="12" t="s">
        <v>22</v>
      </c>
      <c r="C165" s="13">
        <v>46143.0</v>
      </c>
      <c r="D165" s="12" t="s">
        <v>29</v>
      </c>
      <c r="E165" s="12" t="s">
        <v>85</v>
      </c>
      <c r="F165" s="12" t="s">
        <v>25</v>
      </c>
      <c r="G165" s="12" t="s">
        <v>54</v>
      </c>
      <c r="H165" s="12">
        <v>4.0</v>
      </c>
      <c r="I165" s="12">
        <v>5.0</v>
      </c>
      <c r="J165" s="12">
        <v>5.0</v>
      </c>
      <c r="K165" s="12">
        <v>5.0</v>
      </c>
      <c r="L165" s="12">
        <v>4.0</v>
      </c>
      <c r="M165" s="12">
        <v>5.0</v>
      </c>
      <c r="N165" s="12">
        <v>5.0</v>
      </c>
      <c r="O165" s="12">
        <v>5.0</v>
      </c>
      <c r="P165" s="12">
        <v>10.0</v>
      </c>
    </row>
    <row r="166" ht="22.5" customHeight="1">
      <c r="A166" s="11">
        <v>46143.80556547454</v>
      </c>
      <c r="B166" s="12" t="s">
        <v>22</v>
      </c>
      <c r="C166" s="13">
        <v>46143.0</v>
      </c>
      <c r="D166" s="12" t="s">
        <v>29</v>
      </c>
      <c r="E166" s="12" t="s">
        <v>100</v>
      </c>
      <c r="F166" s="12" t="s">
        <v>30</v>
      </c>
      <c r="G166" s="12" t="s">
        <v>43</v>
      </c>
      <c r="H166" s="12">
        <v>4.0</v>
      </c>
      <c r="I166" s="12">
        <v>4.0</v>
      </c>
      <c r="J166" s="12">
        <v>4.0</v>
      </c>
      <c r="K166" s="12">
        <v>4.0</v>
      </c>
      <c r="L166" s="12">
        <v>4.0</v>
      </c>
      <c r="M166" s="12">
        <v>4.0</v>
      </c>
      <c r="N166" s="12">
        <v>4.0</v>
      </c>
      <c r="O166" s="12">
        <v>4.0</v>
      </c>
      <c r="P166" s="12">
        <v>8.0</v>
      </c>
      <c r="Q166" s="12" t="s">
        <v>147</v>
      </c>
    </row>
    <row r="167" ht="22.5" customHeight="1">
      <c r="A167" s="11">
        <v>46143.80926440972</v>
      </c>
      <c r="B167" s="12" t="s">
        <v>22</v>
      </c>
      <c r="C167" s="13">
        <v>46063.0</v>
      </c>
      <c r="D167" s="12" t="s">
        <v>29</v>
      </c>
      <c r="E167" s="12" t="s">
        <v>196</v>
      </c>
      <c r="F167" s="12" t="s">
        <v>30</v>
      </c>
      <c r="G167" s="12" t="s">
        <v>43</v>
      </c>
      <c r="H167" s="12">
        <v>5.0</v>
      </c>
      <c r="I167" s="12">
        <v>5.0</v>
      </c>
      <c r="J167" s="12">
        <v>5.0</v>
      </c>
      <c r="K167" s="12">
        <v>5.0</v>
      </c>
      <c r="L167" s="12">
        <v>5.0</v>
      </c>
      <c r="M167" s="12">
        <v>5.0</v>
      </c>
      <c r="N167" s="12">
        <v>5.0</v>
      </c>
      <c r="O167" s="12">
        <v>5.0</v>
      </c>
      <c r="P167" s="12">
        <v>10.0</v>
      </c>
      <c r="Q167" s="12" t="s">
        <v>44</v>
      </c>
      <c r="R167" s="12" t="s">
        <v>71</v>
      </c>
      <c r="S167" s="14"/>
      <c r="T167" s="14"/>
      <c r="U167" s="14"/>
      <c r="V167" s="14"/>
    </row>
    <row r="168" ht="22.5" customHeight="1">
      <c r="A168" s="11">
        <v>46143.828466481486</v>
      </c>
      <c r="B168" s="12" t="s">
        <v>22</v>
      </c>
      <c r="C168" s="13">
        <v>46143.0</v>
      </c>
      <c r="D168" s="12" t="s">
        <v>29</v>
      </c>
      <c r="E168" s="12" t="s">
        <v>197</v>
      </c>
      <c r="F168" s="12" t="s">
        <v>25</v>
      </c>
      <c r="G168" s="12" t="s">
        <v>43</v>
      </c>
      <c r="H168" s="12">
        <v>5.0</v>
      </c>
      <c r="I168" s="12">
        <v>5.0</v>
      </c>
      <c r="J168" s="12">
        <v>5.0</v>
      </c>
      <c r="K168" s="12">
        <v>5.0</v>
      </c>
      <c r="L168" s="12">
        <v>5.0</v>
      </c>
      <c r="M168" s="12">
        <v>5.0</v>
      </c>
      <c r="N168" s="12">
        <v>5.0</v>
      </c>
      <c r="O168" s="12">
        <v>5.0</v>
      </c>
      <c r="P168" s="12">
        <v>10.0</v>
      </c>
      <c r="Q168" s="12" t="s">
        <v>198</v>
      </c>
      <c r="R168" s="12" t="s">
        <v>199</v>
      </c>
      <c r="S168" s="14"/>
      <c r="T168" s="14"/>
      <c r="U168" s="14"/>
      <c r="V168" s="14"/>
    </row>
    <row r="169" ht="22.5" customHeight="1">
      <c r="A169" s="11">
        <v>46143.83463538194</v>
      </c>
      <c r="B169" s="12" t="s">
        <v>22</v>
      </c>
      <c r="C169" s="13">
        <v>46143.0</v>
      </c>
      <c r="D169" s="12" t="s">
        <v>29</v>
      </c>
      <c r="E169" s="12" t="s">
        <v>176</v>
      </c>
      <c r="F169" s="12" t="s">
        <v>30</v>
      </c>
      <c r="G169" s="12" t="s">
        <v>43</v>
      </c>
      <c r="H169" s="12">
        <v>5.0</v>
      </c>
      <c r="I169" s="12">
        <v>4.0</v>
      </c>
      <c r="J169" s="12">
        <v>5.0</v>
      </c>
      <c r="K169" s="12">
        <v>5.0</v>
      </c>
      <c r="L169" s="12">
        <v>5.0</v>
      </c>
      <c r="M169" s="12">
        <v>4.0</v>
      </c>
      <c r="N169" s="12">
        <v>4.0</v>
      </c>
      <c r="O169" s="12">
        <v>5.0</v>
      </c>
      <c r="P169" s="12">
        <v>8.0</v>
      </c>
    </row>
    <row r="170" ht="22.5" customHeight="1">
      <c r="A170" s="11">
        <v>46143.85244479167</v>
      </c>
      <c r="B170" s="12" t="s">
        <v>22</v>
      </c>
      <c r="C170" s="13">
        <v>46142.0</v>
      </c>
      <c r="D170" s="12" t="s">
        <v>29</v>
      </c>
      <c r="F170" s="12" t="s">
        <v>30</v>
      </c>
      <c r="G170" s="12" t="s">
        <v>185</v>
      </c>
      <c r="H170" s="12">
        <v>5.0</v>
      </c>
      <c r="I170" s="12">
        <v>5.0</v>
      </c>
      <c r="J170" s="12">
        <v>5.0</v>
      </c>
      <c r="K170" s="12">
        <v>5.0</v>
      </c>
      <c r="L170" s="12">
        <v>5.0</v>
      </c>
      <c r="M170" s="12">
        <v>5.0</v>
      </c>
      <c r="N170" s="12">
        <v>5.0</v>
      </c>
      <c r="O170" s="12">
        <v>5.0</v>
      </c>
      <c r="P170" s="12">
        <v>10.0</v>
      </c>
    </row>
    <row r="171" ht="22.5" customHeight="1">
      <c r="A171" s="11">
        <v>46143.87601503472</v>
      </c>
      <c r="B171" s="12" t="s">
        <v>22</v>
      </c>
      <c r="C171" s="13">
        <v>46143.0</v>
      </c>
      <c r="D171" s="12" t="s">
        <v>29</v>
      </c>
      <c r="E171" s="12" t="s">
        <v>137</v>
      </c>
      <c r="F171" s="12" t="s">
        <v>30</v>
      </c>
      <c r="G171" s="12" t="s">
        <v>26</v>
      </c>
      <c r="H171" s="12">
        <v>5.0</v>
      </c>
      <c r="I171" s="12">
        <v>5.0</v>
      </c>
      <c r="J171" s="12">
        <v>5.0</v>
      </c>
      <c r="K171" s="12">
        <v>4.0</v>
      </c>
      <c r="L171" s="12">
        <v>4.0</v>
      </c>
      <c r="M171" s="12">
        <v>4.0</v>
      </c>
      <c r="N171" s="12">
        <v>4.0</v>
      </c>
      <c r="O171" s="12">
        <v>4.0</v>
      </c>
      <c r="P171" s="12">
        <v>9.0</v>
      </c>
      <c r="Q171" s="12" t="s">
        <v>44</v>
      </c>
      <c r="R171" s="12" t="s">
        <v>97</v>
      </c>
      <c r="S171" s="14"/>
      <c r="T171" s="14"/>
      <c r="U171" s="14"/>
      <c r="V171" s="14"/>
    </row>
    <row r="172" ht="22.5" customHeight="1">
      <c r="A172" s="11">
        <v>46143.89675172453</v>
      </c>
      <c r="B172" s="12" t="s">
        <v>22</v>
      </c>
      <c r="C172" s="13">
        <v>46143.0</v>
      </c>
      <c r="D172" s="12" t="s">
        <v>29</v>
      </c>
      <c r="F172" s="12" t="s">
        <v>25</v>
      </c>
      <c r="G172" s="12" t="s">
        <v>26</v>
      </c>
      <c r="H172" s="12">
        <v>5.0</v>
      </c>
      <c r="I172" s="12">
        <v>3.0</v>
      </c>
      <c r="J172" s="12">
        <v>3.0</v>
      </c>
      <c r="K172" s="12">
        <v>3.0</v>
      </c>
      <c r="L172" s="12">
        <v>3.0</v>
      </c>
      <c r="M172" s="12">
        <v>3.0</v>
      </c>
      <c r="N172" s="12">
        <v>3.0</v>
      </c>
      <c r="O172" s="12">
        <v>3.0</v>
      </c>
      <c r="P172" s="12">
        <v>5.0</v>
      </c>
    </row>
    <row r="173" ht="22.5" customHeight="1">
      <c r="A173" s="11">
        <v>46143.92053167824</v>
      </c>
      <c r="B173" s="12" t="s">
        <v>22</v>
      </c>
      <c r="C173" s="13">
        <v>46143.0</v>
      </c>
      <c r="D173" s="12" t="s">
        <v>29</v>
      </c>
      <c r="F173" s="12" t="s">
        <v>25</v>
      </c>
      <c r="G173" s="12" t="s">
        <v>43</v>
      </c>
      <c r="H173" s="12">
        <v>4.0</v>
      </c>
      <c r="I173" s="12">
        <v>4.0</v>
      </c>
      <c r="J173" s="12">
        <v>4.0</v>
      </c>
      <c r="K173" s="12">
        <v>4.0</v>
      </c>
      <c r="L173" s="12">
        <v>4.0</v>
      </c>
      <c r="M173" s="12">
        <v>4.0</v>
      </c>
      <c r="N173" s="12">
        <v>4.0</v>
      </c>
      <c r="O173" s="12">
        <v>4.0</v>
      </c>
      <c r="P173" s="12">
        <v>7.0</v>
      </c>
    </row>
    <row r="174" ht="22.5" customHeight="1">
      <c r="A174" s="11">
        <v>46143.98289746528</v>
      </c>
      <c r="B174" s="12" t="s">
        <v>22</v>
      </c>
      <c r="C174" s="13">
        <v>46142.0</v>
      </c>
      <c r="D174" s="12" t="s">
        <v>29</v>
      </c>
      <c r="E174" s="12" t="s">
        <v>200</v>
      </c>
      <c r="F174" s="12" t="s">
        <v>25</v>
      </c>
      <c r="G174" s="12" t="s">
        <v>69</v>
      </c>
      <c r="H174" s="12">
        <v>5.0</v>
      </c>
      <c r="I174" s="12">
        <v>5.0</v>
      </c>
      <c r="J174" s="12">
        <v>5.0</v>
      </c>
      <c r="K174" s="12">
        <v>5.0</v>
      </c>
      <c r="L174" s="12">
        <v>5.0</v>
      </c>
      <c r="M174" s="12">
        <v>5.0</v>
      </c>
      <c r="N174" s="12">
        <v>5.0</v>
      </c>
      <c r="O174" s="12">
        <v>5.0</v>
      </c>
      <c r="P174" s="12">
        <v>10.0</v>
      </c>
      <c r="Q174" s="12" t="s">
        <v>201</v>
      </c>
      <c r="R174" s="12" t="s">
        <v>202</v>
      </c>
      <c r="S174" s="14"/>
      <c r="T174" s="14"/>
      <c r="U174" s="14"/>
      <c r="V174" s="14"/>
    </row>
    <row r="175" ht="22.5" customHeight="1">
      <c r="A175" s="11">
        <v>46144.06024471065</v>
      </c>
      <c r="B175" s="12" t="s">
        <v>22</v>
      </c>
      <c r="C175" s="13">
        <v>46144.0</v>
      </c>
      <c r="D175" s="12" t="s">
        <v>29</v>
      </c>
      <c r="F175" s="12" t="s">
        <v>30</v>
      </c>
      <c r="G175" s="12" t="s">
        <v>43</v>
      </c>
      <c r="H175" s="12">
        <v>4.0</v>
      </c>
      <c r="I175" s="12">
        <v>4.0</v>
      </c>
      <c r="J175" s="12">
        <v>4.0</v>
      </c>
      <c r="K175" s="12">
        <v>4.0</v>
      </c>
      <c r="L175" s="12">
        <v>4.0</v>
      </c>
      <c r="M175" s="12">
        <v>4.0</v>
      </c>
      <c r="N175" s="12">
        <v>4.0</v>
      </c>
      <c r="O175" s="12">
        <v>4.0</v>
      </c>
      <c r="P175" s="12">
        <v>9.0</v>
      </c>
    </row>
    <row r="176" ht="22.5" customHeight="1">
      <c r="A176" s="11">
        <v>46144.39484795139</v>
      </c>
      <c r="B176" s="12" t="s">
        <v>22</v>
      </c>
      <c r="C176" s="13">
        <v>46144.0</v>
      </c>
      <c r="D176" s="12" t="s">
        <v>29</v>
      </c>
      <c r="E176" s="12" t="s">
        <v>203</v>
      </c>
      <c r="F176" s="12" t="s">
        <v>25</v>
      </c>
      <c r="G176" s="12" t="s">
        <v>204</v>
      </c>
      <c r="H176" s="12">
        <v>4.0</v>
      </c>
      <c r="I176" s="12">
        <v>4.0</v>
      </c>
      <c r="J176" s="12">
        <v>4.0</v>
      </c>
      <c r="K176" s="12">
        <v>4.0</v>
      </c>
      <c r="L176" s="12">
        <v>4.0</v>
      </c>
      <c r="M176" s="12">
        <v>4.0</v>
      </c>
      <c r="N176" s="12">
        <v>4.0</v>
      </c>
      <c r="O176" s="12">
        <v>4.0</v>
      </c>
      <c r="P176" s="12">
        <v>9.0</v>
      </c>
    </row>
    <row r="177" ht="22.5" customHeight="1">
      <c r="A177" s="11">
        <v>46144.423999375</v>
      </c>
      <c r="B177" s="12" t="s">
        <v>22</v>
      </c>
      <c r="C177" s="13">
        <v>46143.0</v>
      </c>
      <c r="D177" s="12" t="s">
        <v>29</v>
      </c>
      <c r="F177" s="12" t="s">
        <v>30</v>
      </c>
      <c r="G177" s="12" t="s">
        <v>43</v>
      </c>
      <c r="H177" s="12">
        <v>4.0</v>
      </c>
      <c r="I177" s="12">
        <v>3.0</v>
      </c>
      <c r="J177" s="12">
        <v>3.0</v>
      </c>
      <c r="K177" s="12">
        <v>3.0</v>
      </c>
      <c r="L177" s="12">
        <v>4.0</v>
      </c>
      <c r="M177" s="12">
        <v>3.0</v>
      </c>
      <c r="N177" s="12">
        <v>4.0</v>
      </c>
      <c r="O177" s="12">
        <v>3.0</v>
      </c>
      <c r="P177" s="12">
        <v>8.0</v>
      </c>
      <c r="Q177" s="12" t="s">
        <v>71</v>
      </c>
      <c r="R177" s="12" t="s">
        <v>71</v>
      </c>
      <c r="S177" s="14"/>
      <c r="T177" s="14"/>
      <c r="U177" s="14"/>
      <c r="V177" s="14"/>
    </row>
    <row r="178" ht="22.5" customHeight="1">
      <c r="A178" s="11">
        <v>46144.47221034722</v>
      </c>
      <c r="B178" s="12" t="s">
        <v>22</v>
      </c>
      <c r="C178" s="13">
        <v>46144.0</v>
      </c>
      <c r="D178" s="12" t="s">
        <v>29</v>
      </c>
      <c r="F178" s="12" t="s">
        <v>25</v>
      </c>
      <c r="G178" s="12" t="s">
        <v>43</v>
      </c>
      <c r="H178" s="12">
        <v>5.0</v>
      </c>
      <c r="I178" s="12">
        <v>5.0</v>
      </c>
      <c r="J178" s="12">
        <v>5.0</v>
      </c>
      <c r="K178" s="12">
        <v>5.0</v>
      </c>
      <c r="L178" s="12">
        <v>5.0</v>
      </c>
      <c r="M178" s="12">
        <v>5.0</v>
      </c>
      <c r="N178" s="12">
        <v>5.0</v>
      </c>
      <c r="O178" s="12">
        <v>5.0</v>
      </c>
      <c r="P178" s="12">
        <v>10.0</v>
      </c>
    </row>
    <row r="179" ht="22.5" customHeight="1">
      <c r="A179" s="11">
        <v>46144.476721238425</v>
      </c>
      <c r="B179" s="12" t="s">
        <v>22</v>
      </c>
      <c r="C179" s="13">
        <v>46144.0</v>
      </c>
      <c r="D179" s="12" t="s">
        <v>29</v>
      </c>
      <c r="E179" s="12" t="s">
        <v>46</v>
      </c>
      <c r="F179" s="12" t="s">
        <v>25</v>
      </c>
      <c r="G179" s="12" t="s">
        <v>43</v>
      </c>
      <c r="H179" s="12">
        <v>4.0</v>
      </c>
      <c r="I179" s="12">
        <v>4.0</v>
      </c>
      <c r="J179" s="12">
        <v>4.0</v>
      </c>
      <c r="K179" s="12">
        <v>4.0</v>
      </c>
      <c r="L179" s="12">
        <v>4.0</v>
      </c>
      <c r="M179" s="12">
        <v>4.0</v>
      </c>
      <c r="N179" s="12">
        <v>4.0</v>
      </c>
      <c r="O179" s="12">
        <v>4.0</v>
      </c>
      <c r="P179" s="12">
        <v>8.0</v>
      </c>
      <c r="Q179" s="12" t="s">
        <v>71</v>
      </c>
      <c r="R179" s="12" t="s">
        <v>71</v>
      </c>
      <c r="S179" s="14"/>
      <c r="T179" s="14"/>
      <c r="U179" s="14"/>
      <c r="V179" s="14"/>
    </row>
    <row r="180" ht="22.5" customHeight="1">
      <c r="A180" s="11">
        <v>46144.52520984954</v>
      </c>
      <c r="B180" s="12" t="s">
        <v>22</v>
      </c>
      <c r="C180" s="13">
        <v>46144.0</v>
      </c>
      <c r="D180" s="12" t="s">
        <v>29</v>
      </c>
      <c r="F180" s="12" t="s">
        <v>30</v>
      </c>
      <c r="G180" s="12" t="s">
        <v>43</v>
      </c>
      <c r="H180" s="12">
        <v>3.0</v>
      </c>
      <c r="I180" s="12">
        <v>4.0</v>
      </c>
      <c r="J180" s="12">
        <v>4.0</v>
      </c>
      <c r="K180" s="12">
        <v>4.0</v>
      </c>
      <c r="L180" s="12">
        <v>4.0</v>
      </c>
      <c r="M180" s="12">
        <v>5.0</v>
      </c>
      <c r="N180" s="12">
        <v>5.0</v>
      </c>
      <c r="O180" s="12">
        <v>4.0</v>
      </c>
      <c r="P180" s="12">
        <v>9.0</v>
      </c>
    </row>
    <row r="181" ht="22.5" customHeight="1">
      <c r="A181" s="11">
        <v>46144.53833380787</v>
      </c>
      <c r="B181" s="12" t="s">
        <v>22</v>
      </c>
      <c r="C181" s="13">
        <v>46144.0</v>
      </c>
      <c r="D181" s="12" t="s">
        <v>29</v>
      </c>
      <c r="F181" s="12" t="s">
        <v>30</v>
      </c>
      <c r="G181" s="12" t="s">
        <v>43</v>
      </c>
      <c r="H181" s="12">
        <v>2.0</v>
      </c>
      <c r="I181" s="12">
        <v>3.0</v>
      </c>
      <c r="J181" s="12">
        <v>4.0</v>
      </c>
      <c r="K181" s="12">
        <v>4.0</v>
      </c>
      <c r="L181" s="12">
        <v>4.0</v>
      </c>
      <c r="M181" s="12">
        <v>4.0</v>
      </c>
      <c r="N181" s="12">
        <v>4.0</v>
      </c>
      <c r="O181" s="12">
        <v>4.0</v>
      </c>
      <c r="P181" s="12">
        <v>8.0</v>
      </c>
      <c r="Q181" s="12" t="s">
        <v>44</v>
      </c>
    </row>
    <row r="182" ht="22.5" customHeight="1">
      <c r="A182" s="11">
        <v>46144.63275236111</v>
      </c>
      <c r="B182" s="12" t="s">
        <v>22</v>
      </c>
      <c r="C182" s="13">
        <v>46144.0</v>
      </c>
      <c r="D182" s="12" t="s">
        <v>29</v>
      </c>
      <c r="F182" s="12" t="s">
        <v>25</v>
      </c>
      <c r="G182" s="12" t="s">
        <v>62</v>
      </c>
      <c r="H182" s="12">
        <v>3.0</v>
      </c>
      <c r="I182" s="12">
        <v>3.0</v>
      </c>
      <c r="J182" s="12">
        <v>3.0</v>
      </c>
      <c r="K182" s="12">
        <v>3.0</v>
      </c>
      <c r="L182" s="12">
        <v>3.0</v>
      </c>
      <c r="M182" s="12">
        <v>3.0</v>
      </c>
      <c r="N182" s="12">
        <v>3.0</v>
      </c>
      <c r="O182" s="12">
        <v>3.0</v>
      </c>
      <c r="P182" s="12">
        <v>5.0</v>
      </c>
      <c r="Q182" s="12" t="s">
        <v>41</v>
      </c>
      <c r="R182" s="12" t="s">
        <v>41</v>
      </c>
      <c r="S182" s="14"/>
      <c r="T182" s="14"/>
      <c r="U182" s="14"/>
      <c r="V182" s="14"/>
    </row>
    <row r="183" ht="22.5" customHeight="1">
      <c r="A183" s="11">
        <v>46144.649866921296</v>
      </c>
      <c r="B183" s="12" t="s">
        <v>22</v>
      </c>
      <c r="C183" s="13">
        <v>46127.0</v>
      </c>
      <c r="D183" s="12" t="s">
        <v>29</v>
      </c>
      <c r="E183" s="12" t="s">
        <v>205</v>
      </c>
      <c r="F183" s="12" t="s">
        <v>30</v>
      </c>
      <c r="G183" s="12" t="s">
        <v>43</v>
      </c>
      <c r="H183" s="12">
        <v>4.0</v>
      </c>
      <c r="I183" s="12">
        <v>4.0</v>
      </c>
      <c r="J183" s="12">
        <v>4.0</v>
      </c>
      <c r="K183" s="12">
        <v>4.0</v>
      </c>
      <c r="L183" s="12">
        <v>3.0</v>
      </c>
      <c r="M183" s="12">
        <v>4.0</v>
      </c>
      <c r="N183" s="12">
        <v>4.0</v>
      </c>
      <c r="O183" s="12">
        <v>4.0</v>
      </c>
      <c r="P183" s="12">
        <v>5.0</v>
      </c>
      <c r="Q183" s="12" t="s">
        <v>206</v>
      </c>
      <c r="R183" s="12" t="s">
        <v>206</v>
      </c>
      <c r="S183" s="14"/>
      <c r="T183" s="14"/>
      <c r="U183" s="14"/>
      <c r="V183" s="14"/>
    </row>
    <row r="184" ht="22.5" customHeight="1">
      <c r="A184" s="11">
        <v>46144.69643819444</v>
      </c>
      <c r="B184" s="12" t="s">
        <v>22</v>
      </c>
      <c r="C184" s="13">
        <v>46144.0</v>
      </c>
      <c r="D184" s="12" t="s">
        <v>29</v>
      </c>
      <c r="F184" s="12" t="s">
        <v>30</v>
      </c>
      <c r="G184" s="12" t="s">
        <v>26</v>
      </c>
      <c r="H184" s="12">
        <v>5.0</v>
      </c>
      <c r="I184" s="12">
        <v>5.0</v>
      </c>
      <c r="J184" s="12">
        <v>5.0</v>
      </c>
      <c r="K184" s="12">
        <v>5.0</v>
      </c>
      <c r="L184" s="12">
        <v>5.0</v>
      </c>
      <c r="M184" s="12">
        <v>5.0</v>
      </c>
      <c r="N184" s="12">
        <v>5.0</v>
      </c>
      <c r="O184" s="12">
        <v>5.0</v>
      </c>
      <c r="P184" s="12">
        <v>10.0</v>
      </c>
    </row>
    <row r="185" ht="22.5" customHeight="1">
      <c r="A185" s="11">
        <v>46144.70441938657</v>
      </c>
      <c r="B185" s="12" t="s">
        <v>22</v>
      </c>
      <c r="C185" s="13">
        <v>46144.0</v>
      </c>
      <c r="D185" s="12" t="s">
        <v>29</v>
      </c>
      <c r="E185" s="12" t="s">
        <v>207</v>
      </c>
      <c r="F185" s="12" t="s">
        <v>30</v>
      </c>
      <c r="G185" s="12" t="s">
        <v>26</v>
      </c>
      <c r="H185" s="12">
        <v>5.0</v>
      </c>
      <c r="I185" s="12">
        <v>5.0</v>
      </c>
      <c r="J185" s="12">
        <v>5.0</v>
      </c>
      <c r="K185" s="12">
        <v>5.0</v>
      </c>
      <c r="L185" s="12">
        <v>5.0</v>
      </c>
      <c r="M185" s="12">
        <v>5.0</v>
      </c>
      <c r="N185" s="12">
        <v>5.0</v>
      </c>
      <c r="O185" s="12">
        <v>5.0</v>
      </c>
      <c r="P185" s="12">
        <v>10.0</v>
      </c>
    </row>
    <row r="186" ht="22.5" customHeight="1">
      <c r="A186" s="11">
        <v>46144.72218482639</v>
      </c>
      <c r="B186" s="12" t="s">
        <v>22</v>
      </c>
      <c r="C186" s="13">
        <v>46144.0</v>
      </c>
      <c r="D186" s="12" t="s">
        <v>29</v>
      </c>
      <c r="E186" s="12" t="s">
        <v>208</v>
      </c>
      <c r="F186" s="12" t="s">
        <v>30</v>
      </c>
      <c r="G186" s="12" t="s">
        <v>209</v>
      </c>
      <c r="H186" s="12">
        <v>5.0</v>
      </c>
      <c r="I186" s="12">
        <v>5.0</v>
      </c>
      <c r="J186" s="12">
        <v>5.0</v>
      </c>
      <c r="K186" s="12">
        <v>5.0</v>
      </c>
      <c r="L186" s="12">
        <v>5.0</v>
      </c>
      <c r="M186" s="12">
        <v>5.0</v>
      </c>
      <c r="N186" s="12">
        <v>5.0</v>
      </c>
      <c r="O186" s="12">
        <v>5.0</v>
      </c>
      <c r="P186" s="12">
        <v>9.0</v>
      </c>
      <c r="Q186" s="12" t="s">
        <v>44</v>
      </c>
      <c r="R186" s="12" t="s">
        <v>71</v>
      </c>
      <c r="S186" s="14"/>
      <c r="T186" s="14"/>
      <c r="U186" s="14"/>
      <c r="V186" s="14"/>
    </row>
    <row r="187" ht="22.5" customHeight="1">
      <c r="A187" s="11">
        <v>46144.827494212965</v>
      </c>
      <c r="B187" s="12" t="s">
        <v>22</v>
      </c>
      <c r="C187" s="13">
        <v>46114.0</v>
      </c>
      <c r="D187" s="12" t="s">
        <v>29</v>
      </c>
      <c r="F187" s="12" t="s">
        <v>30</v>
      </c>
      <c r="G187" s="12" t="s">
        <v>62</v>
      </c>
      <c r="H187" s="12">
        <v>5.0</v>
      </c>
      <c r="I187" s="12">
        <v>5.0</v>
      </c>
      <c r="J187" s="12">
        <v>5.0</v>
      </c>
      <c r="K187" s="12">
        <v>5.0</v>
      </c>
      <c r="L187" s="12">
        <v>5.0</v>
      </c>
      <c r="M187" s="12">
        <v>5.0</v>
      </c>
      <c r="N187" s="12">
        <v>5.0</v>
      </c>
      <c r="O187" s="12">
        <v>5.0</v>
      </c>
      <c r="P187" s="12">
        <v>10.0</v>
      </c>
      <c r="Q187" s="12" t="s">
        <v>210</v>
      </c>
      <c r="R187" s="12" t="s">
        <v>210</v>
      </c>
      <c r="S187" s="14"/>
      <c r="T187" s="14"/>
      <c r="U187" s="14"/>
      <c r="V187" s="14"/>
    </row>
    <row r="188" ht="22.5" customHeight="1">
      <c r="A188" s="11">
        <v>46144.8339742824</v>
      </c>
      <c r="B188" s="12" t="s">
        <v>22</v>
      </c>
      <c r="C188" s="13">
        <v>46142.0</v>
      </c>
      <c r="D188" s="12" t="s">
        <v>29</v>
      </c>
      <c r="F188" s="12" t="s">
        <v>30</v>
      </c>
      <c r="G188" s="12" t="s">
        <v>43</v>
      </c>
      <c r="H188" s="12">
        <v>5.0</v>
      </c>
      <c r="I188" s="12">
        <v>5.0</v>
      </c>
      <c r="J188" s="12">
        <v>5.0</v>
      </c>
      <c r="K188" s="12">
        <v>5.0</v>
      </c>
      <c r="L188" s="12">
        <v>5.0</v>
      </c>
      <c r="M188" s="12">
        <v>5.0</v>
      </c>
      <c r="N188" s="12">
        <v>5.0</v>
      </c>
      <c r="O188" s="12">
        <v>5.0</v>
      </c>
      <c r="P188" s="12">
        <v>10.0</v>
      </c>
    </row>
    <row r="189" ht="22.5" customHeight="1">
      <c r="A189" s="11">
        <v>46144.84216810185</v>
      </c>
      <c r="B189" s="12" t="s">
        <v>22</v>
      </c>
      <c r="C189" s="13">
        <v>46144.0</v>
      </c>
      <c r="D189" s="12" t="s">
        <v>29</v>
      </c>
      <c r="E189" s="12" t="s">
        <v>46</v>
      </c>
      <c r="F189" s="12" t="s">
        <v>25</v>
      </c>
      <c r="G189" s="12" t="s">
        <v>26</v>
      </c>
      <c r="H189" s="12">
        <v>5.0</v>
      </c>
      <c r="I189" s="12">
        <v>5.0</v>
      </c>
      <c r="J189" s="12">
        <v>5.0</v>
      </c>
      <c r="K189" s="12">
        <v>5.0</v>
      </c>
      <c r="L189" s="12">
        <v>5.0</v>
      </c>
      <c r="M189" s="12">
        <v>5.0</v>
      </c>
      <c r="N189" s="12">
        <v>5.0</v>
      </c>
      <c r="O189" s="12">
        <v>5.0</v>
      </c>
      <c r="P189" s="12">
        <v>10.0</v>
      </c>
      <c r="Q189" s="12" t="s">
        <v>41</v>
      </c>
      <c r="R189" s="12" t="s">
        <v>41</v>
      </c>
      <c r="S189" s="14"/>
      <c r="T189" s="14"/>
      <c r="U189" s="14"/>
      <c r="V189" s="14"/>
    </row>
    <row r="190" ht="22.5" customHeight="1">
      <c r="A190" s="11">
        <v>46144.855361932874</v>
      </c>
      <c r="B190" s="12" t="s">
        <v>22</v>
      </c>
      <c r="C190" s="13">
        <v>46142.0</v>
      </c>
      <c r="D190" s="12" t="s">
        <v>29</v>
      </c>
      <c r="E190" s="12" t="s">
        <v>211</v>
      </c>
      <c r="F190" s="12" t="s">
        <v>25</v>
      </c>
      <c r="G190" s="12" t="s">
        <v>69</v>
      </c>
      <c r="H190" s="12">
        <v>4.0</v>
      </c>
      <c r="I190" s="12">
        <v>4.0</v>
      </c>
      <c r="J190" s="12">
        <v>4.0</v>
      </c>
      <c r="K190" s="12">
        <v>5.0</v>
      </c>
      <c r="L190" s="12">
        <v>4.0</v>
      </c>
      <c r="M190" s="12">
        <v>4.0</v>
      </c>
      <c r="N190" s="12">
        <v>4.0</v>
      </c>
      <c r="O190" s="12">
        <v>4.0</v>
      </c>
      <c r="P190" s="12">
        <v>7.0</v>
      </c>
    </row>
    <row r="191" ht="22.5" customHeight="1">
      <c r="A191" s="11">
        <v>46144.86570679398</v>
      </c>
      <c r="B191" s="12" t="s">
        <v>22</v>
      </c>
      <c r="C191" s="13">
        <v>46144.0</v>
      </c>
      <c r="D191" s="12" t="s">
        <v>29</v>
      </c>
      <c r="F191" s="12" t="s">
        <v>25</v>
      </c>
      <c r="G191" s="12" t="s">
        <v>69</v>
      </c>
      <c r="H191" s="12">
        <v>4.0</v>
      </c>
      <c r="I191" s="12">
        <v>4.0</v>
      </c>
      <c r="J191" s="12">
        <v>4.0</v>
      </c>
      <c r="K191" s="12">
        <v>4.0</v>
      </c>
      <c r="L191" s="12">
        <v>4.0</v>
      </c>
      <c r="M191" s="12">
        <v>4.0</v>
      </c>
      <c r="N191" s="12">
        <v>3.0</v>
      </c>
      <c r="O191" s="12">
        <v>4.0</v>
      </c>
      <c r="P191" s="12">
        <v>8.0</v>
      </c>
    </row>
    <row r="192" ht="22.5" customHeight="1">
      <c r="A192" s="11">
        <v>46144.872262743054</v>
      </c>
      <c r="B192" s="12" t="s">
        <v>22</v>
      </c>
      <c r="C192" s="13">
        <v>46144.0</v>
      </c>
      <c r="D192" s="12" t="s">
        <v>29</v>
      </c>
      <c r="F192" s="12" t="s">
        <v>30</v>
      </c>
      <c r="G192" s="12" t="s">
        <v>62</v>
      </c>
      <c r="H192" s="12">
        <v>5.0</v>
      </c>
      <c r="I192" s="12">
        <v>5.0</v>
      </c>
      <c r="J192" s="12">
        <v>5.0</v>
      </c>
      <c r="K192" s="12">
        <v>5.0</v>
      </c>
      <c r="L192" s="12">
        <v>5.0</v>
      </c>
      <c r="M192" s="12">
        <v>5.0</v>
      </c>
      <c r="N192" s="12">
        <v>5.0</v>
      </c>
      <c r="O192" s="12">
        <v>5.0</v>
      </c>
      <c r="P192" s="12">
        <v>9.0</v>
      </c>
    </row>
    <row r="193" ht="22.5" customHeight="1">
      <c r="A193" s="11">
        <v>46144.92686769676</v>
      </c>
      <c r="B193" s="12" t="s">
        <v>22</v>
      </c>
      <c r="C193" s="13" t="s">
        <v>99</v>
      </c>
      <c r="D193" s="12" t="s">
        <v>29</v>
      </c>
      <c r="E193" s="12" t="s">
        <v>212</v>
      </c>
      <c r="F193" s="12" t="s">
        <v>30</v>
      </c>
      <c r="G193" s="12" t="s">
        <v>69</v>
      </c>
      <c r="H193" s="12">
        <v>3.0</v>
      </c>
      <c r="I193" s="12">
        <v>2.0</v>
      </c>
      <c r="J193" s="12">
        <v>1.0</v>
      </c>
      <c r="K193" s="12">
        <v>1.0</v>
      </c>
      <c r="L193" s="12">
        <v>1.0</v>
      </c>
      <c r="M193" s="12">
        <v>1.0</v>
      </c>
      <c r="N193" s="12">
        <v>1.0</v>
      </c>
      <c r="O193" s="12">
        <v>1.0</v>
      </c>
      <c r="P193" s="12">
        <v>2.0</v>
      </c>
      <c r="Q193" s="12" t="s">
        <v>213</v>
      </c>
      <c r="R193" s="12" t="s">
        <v>214</v>
      </c>
      <c r="S193" s="14"/>
      <c r="T193" s="14"/>
      <c r="U193" s="14"/>
      <c r="V193" s="14"/>
    </row>
    <row r="194" ht="22.5" customHeight="1">
      <c r="A194" s="11">
        <v>46144.95339494213</v>
      </c>
      <c r="B194" s="12" t="s">
        <v>22</v>
      </c>
      <c r="C194" s="13">
        <v>46144.0</v>
      </c>
      <c r="D194" s="12" t="s">
        <v>29</v>
      </c>
      <c r="E194" s="12" t="s">
        <v>215</v>
      </c>
      <c r="F194" s="12" t="s">
        <v>30</v>
      </c>
      <c r="G194" s="12" t="s">
        <v>69</v>
      </c>
      <c r="H194" s="12">
        <v>5.0</v>
      </c>
      <c r="I194" s="12">
        <v>5.0</v>
      </c>
      <c r="J194" s="12">
        <v>5.0</v>
      </c>
      <c r="K194" s="12">
        <v>5.0</v>
      </c>
      <c r="L194" s="12">
        <v>5.0</v>
      </c>
      <c r="M194" s="12">
        <v>5.0</v>
      </c>
      <c r="N194" s="12">
        <v>5.0</v>
      </c>
      <c r="O194" s="12">
        <v>5.0</v>
      </c>
      <c r="P194" s="12">
        <v>9.0</v>
      </c>
    </row>
    <row r="195" ht="22.5" customHeight="1">
      <c r="A195" s="11">
        <v>46144.96295122685</v>
      </c>
      <c r="B195" s="12" t="s">
        <v>22</v>
      </c>
      <c r="C195" s="13">
        <v>46143.0</v>
      </c>
      <c r="D195" s="12" t="s">
        <v>29</v>
      </c>
      <c r="F195" s="12" t="s">
        <v>30</v>
      </c>
      <c r="G195" s="12" t="s">
        <v>43</v>
      </c>
      <c r="H195" s="12">
        <v>3.0</v>
      </c>
      <c r="I195" s="12">
        <v>4.0</v>
      </c>
      <c r="J195" s="12">
        <v>4.0</v>
      </c>
      <c r="K195" s="12">
        <v>4.0</v>
      </c>
      <c r="L195" s="12">
        <v>4.0</v>
      </c>
      <c r="M195" s="12">
        <v>4.0</v>
      </c>
      <c r="N195" s="12">
        <v>4.0</v>
      </c>
      <c r="O195" s="12">
        <v>4.0</v>
      </c>
      <c r="P195" s="12">
        <v>10.0</v>
      </c>
    </row>
    <row r="196" ht="22.5" customHeight="1">
      <c r="A196" s="11">
        <v>46145.07182668982</v>
      </c>
      <c r="B196" s="12" t="s">
        <v>22</v>
      </c>
      <c r="C196" s="13">
        <v>46114.0</v>
      </c>
      <c r="D196" s="12" t="s">
        <v>29</v>
      </c>
      <c r="F196" s="12" t="s">
        <v>30</v>
      </c>
      <c r="G196" s="12" t="s">
        <v>216</v>
      </c>
      <c r="H196" s="12">
        <v>5.0</v>
      </c>
      <c r="I196" s="12">
        <v>5.0</v>
      </c>
      <c r="J196" s="12">
        <v>4.0</v>
      </c>
      <c r="K196" s="12">
        <v>3.0</v>
      </c>
      <c r="L196" s="12">
        <v>5.0</v>
      </c>
      <c r="M196" s="12">
        <v>5.0</v>
      </c>
      <c r="N196" s="12">
        <v>4.0</v>
      </c>
      <c r="O196" s="12">
        <v>5.0</v>
      </c>
      <c r="P196" s="12">
        <v>9.0</v>
      </c>
      <c r="Q196" s="12" t="s">
        <v>217</v>
      </c>
      <c r="R196" s="12" t="s">
        <v>218</v>
      </c>
      <c r="S196" s="14"/>
      <c r="T196" s="14"/>
      <c r="U196" s="14"/>
      <c r="V196" s="14"/>
    </row>
    <row r="197" ht="22.5" customHeight="1">
      <c r="A197" s="11">
        <v>46145.320520381945</v>
      </c>
      <c r="B197" s="12" t="s">
        <v>22</v>
      </c>
      <c r="C197" s="13">
        <v>46145.0</v>
      </c>
      <c r="D197" s="12" t="s">
        <v>29</v>
      </c>
      <c r="F197" s="12" t="s">
        <v>30</v>
      </c>
      <c r="G197" s="12" t="s">
        <v>26</v>
      </c>
      <c r="H197" s="12">
        <v>3.0</v>
      </c>
      <c r="I197" s="12">
        <v>3.0</v>
      </c>
      <c r="J197" s="12">
        <v>3.0</v>
      </c>
      <c r="K197" s="12">
        <v>3.0</v>
      </c>
      <c r="L197" s="12">
        <v>3.0</v>
      </c>
      <c r="M197" s="12">
        <v>3.0</v>
      </c>
      <c r="N197" s="12">
        <v>3.0</v>
      </c>
      <c r="O197" s="12">
        <v>3.0</v>
      </c>
      <c r="P197" s="12">
        <v>3.0</v>
      </c>
    </row>
    <row r="198" ht="22.5" customHeight="1">
      <c r="A198" s="11">
        <v>46145.330695358796</v>
      </c>
      <c r="B198" s="12" t="s">
        <v>22</v>
      </c>
      <c r="C198" s="13">
        <v>46145.0</v>
      </c>
      <c r="D198" s="12" t="s">
        <v>29</v>
      </c>
      <c r="E198" s="12" t="s">
        <v>219</v>
      </c>
      <c r="F198" s="12" t="s">
        <v>30</v>
      </c>
      <c r="G198" s="12" t="s">
        <v>43</v>
      </c>
      <c r="H198" s="12">
        <v>4.0</v>
      </c>
      <c r="I198" s="12">
        <v>5.0</v>
      </c>
      <c r="J198" s="12">
        <v>5.0</v>
      </c>
      <c r="K198" s="12">
        <v>5.0</v>
      </c>
      <c r="L198" s="12">
        <v>5.0</v>
      </c>
      <c r="M198" s="12">
        <v>5.0</v>
      </c>
      <c r="N198" s="12">
        <v>5.0</v>
      </c>
      <c r="O198" s="12">
        <v>5.0</v>
      </c>
      <c r="P198" s="12">
        <v>9.0</v>
      </c>
    </row>
    <row r="199" ht="22.5" customHeight="1">
      <c r="A199" s="11">
        <v>46145.43857409722</v>
      </c>
      <c r="B199" s="12" t="s">
        <v>22</v>
      </c>
      <c r="C199" s="13">
        <v>46145.0</v>
      </c>
      <c r="D199" s="12" t="s">
        <v>29</v>
      </c>
      <c r="F199" s="12" t="s">
        <v>30</v>
      </c>
      <c r="G199" s="12" t="s">
        <v>149</v>
      </c>
      <c r="H199" s="12">
        <v>4.0</v>
      </c>
      <c r="I199" s="12">
        <v>4.0</v>
      </c>
      <c r="J199" s="12">
        <v>4.0</v>
      </c>
      <c r="K199" s="12">
        <v>4.0</v>
      </c>
      <c r="M199" s="12">
        <v>4.0</v>
      </c>
      <c r="N199" s="12">
        <v>4.0</v>
      </c>
      <c r="O199" s="12">
        <v>4.0</v>
      </c>
      <c r="P199" s="12">
        <v>9.0</v>
      </c>
    </row>
    <row r="200" ht="22.5" customHeight="1">
      <c r="A200" s="11">
        <v>46145.4439982176</v>
      </c>
      <c r="B200" s="12" t="s">
        <v>22</v>
      </c>
      <c r="C200" s="13">
        <v>46145.0</v>
      </c>
      <c r="D200" s="12" t="s">
        <v>29</v>
      </c>
      <c r="E200" s="12" t="s">
        <v>220</v>
      </c>
      <c r="F200" s="12" t="s">
        <v>30</v>
      </c>
      <c r="G200" s="12" t="s">
        <v>43</v>
      </c>
      <c r="H200" s="12">
        <v>2.0</v>
      </c>
      <c r="I200" s="12">
        <v>2.0</v>
      </c>
      <c r="J200" s="12">
        <v>2.0</v>
      </c>
      <c r="K200" s="12">
        <v>2.0</v>
      </c>
      <c r="L200" s="12">
        <v>2.0</v>
      </c>
      <c r="M200" s="12">
        <v>2.0</v>
      </c>
      <c r="N200" s="12">
        <v>2.0</v>
      </c>
      <c r="O200" s="12">
        <v>3.0</v>
      </c>
      <c r="P200" s="12">
        <v>2.0</v>
      </c>
      <c r="Q200" s="12" t="s">
        <v>221</v>
      </c>
      <c r="R200" s="12" t="s">
        <v>222</v>
      </c>
      <c r="S200" s="14"/>
      <c r="T200" s="14"/>
      <c r="U200" s="14"/>
      <c r="V200" s="14"/>
    </row>
    <row r="201" ht="22.5" customHeight="1">
      <c r="A201" s="11">
        <v>46145.488644490746</v>
      </c>
      <c r="B201" s="12" t="s">
        <v>22</v>
      </c>
      <c r="C201" s="13" t="s">
        <v>223</v>
      </c>
      <c r="D201" s="12" t="s">
        <v>29</v>
      </c>
      <c r="F201" s="12" t="s">
        <v>30</v>
      </c>
      <c r="G201" s="12" t="s">
        <v>43</v>
      </c>
      <c r="H201" s="12">
        <v>1.0</v>
      </c>
      <c r="I201" s="12">
        <v>1.0</v>
      </c>
      <c r="J201" s="12">
        <v>1.0</v>
      </c>
      <c r="K201" s="12">
        <v>1.0</v>
      </c>
      <c r="L201" s="12">
        <v>1.0</v>
      </c>
      <c r="M201" s="12">
        <v>1.0</v>
      </c>
      <c r="N201" s="12">
        <v>1.0</v>
      </c>
      <c r="O201" s="12">
        <v>1.0</v>
      </c>
      <c r="P201" s="12">
        <v>1.0</v>
      </c>
    </row>
    <row r="202" ht="22.5" customHeight="1">
      <c r="A202" s="11">
        <v>46145.522238749996</v>
      </c>
      <c r="B202" s="12" t="s">
        <v>22</v>
      </c>
      <c r="C202" s="13">
        <v>39053.0</v>
      </c>
      <c r="D202" s="12" t="s">
        <v>29</v>
      </c>
      <c r="F202" s="12" t="s">
        <v>30</v>
      </c>
      <c r="G202" s="12" t="s">
        <v>57</v>
      </c>
      <c r="H202" s="12">
        <v>5.0</v>
      </c>
      <c r="I202" s="12">
        <v>5.0</v>
      </c>
      <c r="J202" s="12">
        <v>5.0</v>
      </c>
      <c r="K202" s="12">
        <v>5.0</v>
      </c>
      <c r="L202" s="12">
        <v>5.0</v>
      </c>
      <c r="M202" s="12">
        <v>5.0</v>
      </c>
      <c r="N202" s="12">
        <v>5.0</v>
      </c>
      <c r="O202" s="12">
        <v>5.0</v>
      </c>
      <c r="P202" s="12">
        <v>10.0</v>
      </c>
      <c r="Q202" s="12" t="s">
        <v>44</v>
      </c>
    </row>
    <row r="203" ht="22.5" customHeight="1">
      <c r="A203" s="11">
        <v>46145.52387518519</v>
      </c>
      <c r="B203" s="12" t="s">
        <v>22</v>
      </c>
      <c r="C203" s="13">
        <v>39303.0</v>
      </c>
      <c r="D203" s="12" t="s">
        <v>29</v>
      </c>
      <c r="F203" s="12" t="s">
        <v>30</v>
      </c>
      <c r="G203" s="12" t="s">
        <v>26</v>
      </c>
      <c r="H203" s="12">
        <v>3.0</v>
      </c>
      <c r="I203" s="12">
        <v>3.0</v>
      </c>
      <c r="J203" s="12">
        <v>3.0</v>
      </c>
      <c r="K203" s="12">
        <v>3.0</v>
      </c>
      <c r="L203" s="12">
        <v>3.0</v>
      </c>
      <c r="M203" s="12">
        <v>3.0</v>
      </c>
      <c r="N203" s="12">
        <v>3.0</v>
      </c>
      <c r="O203" s="12">
        <v>3.0</v>
      </c>
      <c r="P203" s="12">
        <v>7.0</v>
      </c>
    </row>
    <row r="204" ht="22.5" customHeight="1">
      <c r="A204" s="11">
        <v>46145.52660111111</v>
      </c>
      <c r="B204" s="12" t="s">
        <v>22</v>
      </c>
      <c r="C204" s="13">
        <v>46145.0</v>
      </c>
      <c r="D204" s="12" t="s">
        <v>29</v>
      </c>
      <c r="F204" s="12" t="s">
        <v>30</v>
      </c>
      <c r="G204" s="12" t="s">
        <v>26</v>
      </c>
      <c r="H204" s="12">
        <v>2.0</v>
      </c>
      <c r="I204" s="12">
        <v>3.0</v>
      </c>
      <c r="J204" s="12">
        <v>3.0</v>
      </c>
      <c r="K204" s="12">
        <v>3.0</v>
      </c>
      <c r="L204" s="12">
        <v>3.0</v>
      </c>
      <c r="M204" s="12">
        <v>3.0</v>
      </c>
      <c r="N204" s="12">
        <v>3.0</v>
      </c>
      <c r="O204" s="12">
        <v>3.0</v>
      </c>
      <c r="P204" s="12">
        <v>4.0</v>
      </c>
    </row>
    <row r="205" ht="22.5" customHeight="1">
      <c r="A205" s="11">
        <v>46145.52769782407</v>
      </c>
      <c r="B205" s="12" t="s">
        <v>22</v>
      </c>
      <c r="C205" s="13">
        <v>39356.0</v>
      </c>
      <c r="D205" s="12" t="s">
        <v>29</v>
      </c>
      <c r="E205" s="12" t="s">
        <v>224</v>
      </c>
      <c r="F205" s="12" t="s">
        <v>30</v>
      </c>
      <c r="G205" s="12" t="s">
        <v>69</v>
      </c>
      <c r="H205" s="12">
        <v>5.0</v>
      </c>
      <c r="I205" s="12">
        <v>5.0</v>
      </c>
      <c r="J205" s="12">
        <v>5.0</v>
      </c>
      <c r="K205" s="12">
        <v>5.0</v>
      </c>
      <c r="L205" s="12">
        <v>5.0</v>
      </c>
      <c r="M205" s="12">
        <v>5.0</v>
      </c>
      <c r="N205" s="12">
        <v>5.0</v>
      </c>
      <c r="O205" s="12">
        <v>5.0</v>
      </c>
      <c r="P205" s="12">
        <v>10.0</v>
      </c>
    </row>
    <row r="206" ht="22.5" customHeight="1">
      <c r="A206" s="11">
        <v>46145.54519721065</v>
      </c>
      <c r="B206" s="12" t="s">
        <v>22</v>
      </c>
      <c r="C206" s="13">
        <v>46144.0</v>
      </c>
      <c r="D206" s="12" t="s">
        <v>29</v>
      </c>
      <c r="E206" s="12" t="s">
        <v>137</v>
      </c>
      <c r="F206" s="12" t="s">
        <v>30</v>
      </c>
      <c r="G206" s="12" t="s">
        <v>26</v>
      </c>
      <c r="I206" s="12">
        <v>4.0</v>
      </c>
      <c r="J206" s="12">
        <v>4.0</v>
      </c>
      <c r="L206" s="12">
        <v>4.0</v>
      </c>
      <c r="M206" s="12">
        <v>3.0</v>
      </c>
      <c r="N206" s="12">
        <v>4.0</v>
      </c>
      <c r="O206" s="12">
        <v>3.0</v>
      </c>
      <c r="P206" s="12">
        <v>8.0</v>
      </c>
    </row>
    <row r="207" ht="22.5" customHeight="1">
      <c r="A207" s="11">
        <v>46145.55084466435</v>
      </c>
      <c r="B207" s="12" t="s">
        <v>22</v>
      </c>
      <c r="C207" s="13">
        <v>46145.0</v>
      </c>
      <c r="D207" s="12" t="s">
        <v>29</v>
      </c>
      <c r="E207" s="12" t="s">
        <v>225</v>
      </c>
      <c r="F207" s="12" t="s">
        <v>30</v>
      </c>
      <c r="G207" s="12" t="s">
        <v>43</v>
      </c>
      <c r="H207" s="12">
        <v>4.0</v>
      </c>
      <c r="I207" s="12">
        <v>3.0</v>
      </c>
      <c r="J207" s="12">
        <v>4.0</v>
      </c>
      <c r="K207" s="12">
        <v>4.0</v>
      </c>
      <c r="L207" s="12">
        <v>4.0</v>
      </c>
      <c r="M207" s="12">
        <v>3.0</v>
      </c>
      <c r="N207" s="12">
        <v>3.0</v>
      </c>
      <c r="O207" s="12">
        <v>4.0</v>
      </c>
      <c r="P207" s="12">
        <v>7.0</v>
      </c>
    </row>
    <row r="208" ht="22.5" customHeight="1">
      <c r="A208" s="11">
        <v>46145.558655138884</v>
      </c>
      <c r="B208" s="12" t="s">
        <v>22</v>
      </c>
      <c r="C208" s="13">
        <v>46144.0</v>
      </c>
      <c r="D208" s="12" t="s">
        <v>29</v>
      </c>
      <c r="F208" s="12" t="s">
        <v>25</v>
      </c>
      <c r="G208" s="12" t="s">
        <v>69</v>
      </c>
      <c r="H208" s="12">
        <v>4.0</v>
      </c>
      <c r="I208" s="12">
        <v>4.0</v>
      </c>
      <c r="J208" s="12">
        <v>4.0</v>
      </c>
      <c r="K208" s="12">
        <v>4.0</v>
      </c>
      <c r="L208" s="12">
        <v>5.0</v>
      </c>
      <c r="M208" s="12">
        <v>4.0</v>
      </c>
      <c r="N208" s="12">
        <v>4.0</v>
      </c>
      <c r="O208" s="12">
        <v>4.0</v>
      </c>
      <c r="P208" s="12">
        <v>9.0</v>
      </c>
      <c r="Q208" s="12" t="s">
        <v>226</v>
      </c>
      <c r="R208" s="12" t="s">
        <v>38</v>
      </c>
      <c r="S208" s="14"/>
      <c r="T208" s="14"/>
      <c r="U208" s="14"/>
      <c r="V208" s="14"/>
    </row>
    <row r="209" ht="22.5" customHeight="1">
      <c r="A209" s="11">
        <v>46145.58467762731</v>
      </c>
      <c r="B209" s="12" t="s">
        <v>22</v>
      </c>
      <c r="C209" s="13">
        <v>46145.0</v>
      </c>
      <c r="D209" s="12" t="s">
        <v>29</v>
      </c>
      <c r="E209" s="12" t="s">
        <v>143</v>
      </c>
      <c r="F209" s="12" t="s">
        <v>30</v>
      </c>
      <c r="G209" s="12" t="s">
        <v>43</v>
      </c>
      <c r="H209" s="12">
        <v>4.0</v>
      </c>
      <c r="I209" s="12">
        <v>4.0</v>
      </c>
      <c r="J209" s="12">
        <v>3.0</v>
      </c>
      <c r="K209" s="12">
        <v>3.0</v>
      </c>
      <c r="L209" s="12">
        <v>4.0</v>
      </c>
      <c r="M209" s="12">
        <v>4.0</v>
      </c>
      <c r="N209" s="12">
        <v>3.0</v>
      </c>
      <c r="O209" s="12">
        <v>3.0</v>
      </c>
      <c r="P209" s="12">
        <v>6.0</v>
      </c>
    </row>
    <row r="210" ht="22.5" customHeight="1">
      <c r="A210" s="11">
        <v>46145.59930296296</v>
      </c>
      <c r="B210" s="12" t="s">
        <v>22</v>
      </c>
      <c r="C210" s="13">
        <v>46145.0</v>
      </c>
      <c r="D210" s="12" t="s">
        <v>29</v>
      </c>
      <c r="F210" s="12" t="s">
        <v>30</v>
      </c>
      <c r="G210" s="12" t="s">
        <v>43</v>
      </c>
      <c r="H210" s="12">
        <v>5.0</v>
      </c>
      <c r="I210" s="12">
        <v>5.0</v>
      </c>
      <c r="J210" s="12">
        <v>4.0</v>
      </c>
      <c r="K210" s="12">
        <v>5.0</v>
      </c>
      <c r="L210" s="12">
        <v>4.0</v>
      </c>
      <c r="M210" s="12">
        <v>5.0</v>
      </c>
      <c r="N210" s="12">
        <v>5.0</v>
      </c>
      <c r="O210" s="12">
        <v>5.0</v>
      </c>
      <c r="P210" s="12">
        <v>10.0</v>
      </c>
    </row>
    <row r="211" ht="22.5" customHeight="1">
      <c r="A211" s="11">
        <v>46145.61301068287</v>
      </c>
      <c r="B211" s="12" t="s">
        <v>22</v>
      </c>
      <c r="C211" s="13">
        <v>46144.0</v>
      </c>
      <c r="D211" s="12" t="s">
        <v>29</v>
      </c>
      <c r="F211" s="12" t="s">
        <v>30</v>
      </c>
      <c r="G211" s="12" t="s">
        <v>43</v>
      </c>
      <c r="H211" s="12">
        <v>5.0</v>
      </c>
      <c r="I211" s="12">
        <v>5.0</v>
      </c>
      <c r="J211" s="12">
        <v>5.0</v>
      </c>
      <c r="K211" s="12">
        <v>5.0</v>
      </c>
      <c r="L211" s="12">
        <v>5.0</v>
      </c>
      <c r="M211" s="12">
        <v>5.0</v>
      </c>
      <c r="N211" s="12">
        <v>5.0</v>
      </c>
      <c r="O211" s="12">
        <v>5.0</v>
      </c>
      <c r="P211" s="12">
        <v>10.0</v>
      </c>
    </row>
    <row r="212" ht="22.5" customHeight="1">
      <c r="A212" s="11">
        <v>46145.69104335648</v>
      </c>
      <c r="B212" s="12" t="s">
        <v>22</v>
      </c>
      <c r="C212" s="13">
        <v>46145.0</v>
      </c>
      <c r="D212" s="12" t="s">
        <v>29</v>
      </c>
      <c r="F212" s="12" t="s">
        <v>30</v>
      </c>
      <c r="G212" s="12" t="s">
        <v>26</v>
      </c>
      <c r="H212" s="12">
        <v>5.0</v>
      </c>
      <c r="I212" s="12">
        <v>4.0</v>
      </c>
      <c r="J212" s="12">
        <v>5.0</v>
      </c>
      <c r="K212" s="12">
        <v>5.0</v>
      </c>
      <c r="L212" s="12">
        <v>5.0</v>
      </c>
      <c r="M212" s="12">
        <v>5.0</v>
      </c>
      <c r="N212" s="12">
        <v>5.0</v>
      </c>
      <c r="O212" s="12">
        <v>5.0</v>
      </c>
      <c r="P212" s="12">
        <v>10.0</v>
      </c>
    </row>
    <row r="213" ht="22.5" customHeight="1">
      <c r="A213" s="11">
        <v>46145.74890564815</v>
      </c>
      <c r="B213" s="12" t="s">
        <v>22</v>
      </c>
      <c r="C213" s="13">
        <v>46145.0</v>
      </c>
      <c r="D213" s="12" t="s">
        <v>29</v>
      </c>
      <c r="F213" s="12" t="s">
        <v>25</v>
      </c>
      <c r="G213" s="12" t="s">
        <v>227</v>
      </c>
      <c r="H213" s="12">
        <v>3.0</v>
      </c>
      <c r="I213" s="12">
        <v>3.0</v>
      </c>
      <c r="J213" s="12">
        <v>3.0</v>
      </c>
      <c r="K213" s="12">
        <v>3.0</v>
      </c>
      <c r="L213" s="12">
        <v>3.0</v>
      </c>
      <c r="M213" s="12">
        <v>3.0</v>
      </c>
      <c r="N213" s="12">
        <v>3.0</v>
      </c>
      <c r="O213" s="12">
        <v>3.0</v>
      </c>
      <c r="P213" s="12">
        <v>7.0</v>
      </c>
    </row>
    <row r="214" ht="22.5" customHeight="1">
      <c r="A214" s="11">
        <v>46145.78414693287</v>
      </c>
      <c r="B214" s="12" t="s">
        <v>22</v>
      </c>
      <c r="C214" s="13">
        <v>46145.0</v>
      </c>
      <c r="D214" s="12" t="s">
        <v>29</v>
      </c>
      <c r="F214" s="12" t="s">
        <v>30</v>
      </c>
      <c r="G214" s="12" t="s">
        <v>62</v>
      </c>
      <c r="H214" s="12">
        <v>5.0</v>
      </c>
      <c r="I214" s="12">
        <v>5.0</v>
      </c>
      <c r="J214" s="12">
        <v>5.0</v>
      </c>
      <c r="K214" s="12">
        <v>5.0</v>
      </c>
      <c r="L214" s="12">
        <v>5.0</v>
      </c>
      <c r="M214" s="12">
        <v>5.0</v>
      </c>
      <c r="N214" s="12">
        <v>5.0</v>
      </c>
      <c r="O214" s="12">
        <v>5.0</v>
      </c>
      <c r="P214" s="12">
        <v>10.0</v>
      </c>
    </row>
    <row r="215" ht="22.5" customHeight="1">
      <c r="A215" s="11">
        <v>46145.78839030092</v>
      </c>
      <c r="B215" s="12" t="s">
        <v>22</v>
      </c>
      <c r="C215" s="13">
        <v>46145.0</v>
      </c>
      <c r="D215" s="12" t="s">
        <v>29</v>
      </c>
      <c r="E215" s="12" t="s">
        <v>137</v>
      </c>
      <c r="F215" s="12" t="s">
        <v>25</v>
      </c>
      <c r="G215" s="12" t="s">
        <v>228</v>
      </c>
      <c r="H215" s="12">
        <v>4.0</v>
      </c>
      <c r="I215" s="12">
        <v>3.0</v>
      </c>
      <c r="J215" s="12">
        <v>2.0</v>
      </c>
      <c r="K215" s="12">
        <v>5.0</v>
      </c>
      <c r="L215" s="12">
        <v>3.0</v>
      </c>
      <c r="M215" s="12">
        <v>4.0</v>
      </c>
      <c r="N215" s="12">
        <v>3.0</v>
      </c>
      <c r="O215" s="12">
        <v>3.0</v>
      </c>
      <c r="P215" s="12">
        <v>7.0</v>
      </c>
      <c r="Q215" s="12" t="s">
        <v>229</v>
      </c>
      <c r="R215" s="12" t="s">
        <v>120</v>
      </c>
      <c r="S215" s="14"/>
      <c r="T215" s="14"/>
      <c r="U215" s="14"/>
      <c r="V215" s="14"/>
    </row>
    <row r="216" ht="22.5" customHeight="1">
      <c r="A216" s="11">
        <v>46145.82264936343</v>
      </c>
      <c r="B216" s="12" t="s">
        <v>22</v>
      </c>
      <c r="C216" s="13">
        <v>46145.0</v>
      </c>
      <c r="D216" s="12" t="s">
        <v>29</v>
      </c>
      <c r="E216" s="12" t="s">
        <v>230</v>
      </c>
      <c r="F216" s="12" t="s">
        <v>30</v>
      </c>
      <c r="G216" s="12" t="s">
        <v>231</v>
      </c>
      <c r="H216" s="12">
        <v>5.0</v>
      </c>
      <c r="I216" s="12">
        <v>4.0</v>
      </c>
      <c r="J216" s="12">
        <v>4.0</v>
      </c>
      <c r="K216" s="12">
        <v>4.0</v>
      </c>
      <c r="L216" s="12">
        <v>4.0</v>
      </c>
      <c r="M216" s="12">
        <v>4.0</v>
      </c>
      <c r="N216" s="12">
        <v>4.0</v>
      </c>
      <c r="O216" s="12">
        <v>4.0</v>
      </c>
      <c r="P216" s="12">
        <v>9.0</v>
      </c>
      <c r="Q216" s="12" t="s">
        <v>232</v>
      </c>
      <c r="R216" s="12" t="s">
        <v>38</v>
      </c>
      <c r="S216" s="14"/>
      <c r="T216" s="14"/>
      <c r="U216" s="14"/>
      <c r="V216" s="14"/>
    </row>
    <row r="217" ht="22.5" customHeight="1">
      <c r="A217" s="11">
        <v>46145.827219212966</v>
      </c>
      <c r="B217" s="12" t="s">
        <v>22</v>
      </c>
      <c r="C217" s="13" t="s">
        <v>233</v>
      </c>
      <c r="D217" s="12" t="s">
        <v>29</v>
      </c>
      <c r="F217" s="12" t="s">
        <v>30</v>
      </c>
      <c r="G217" s="12" t="s">
        <v>43</v>
      </c>
      <c r="H217" s="12">
        <v>5.0</v>
      </c>
      <c r="I217" s="12">
        <v>5.0</v>
      </c>
      <c r="J217" s="12">
        <v>5.0</v>
      </c>
      <c r="K217" s="12">
        <v>5.0</v>
      </c>
      <c r="L217" s="12">
        <v>5.0</v>
      </c>
      <c r="M217" s="12">
        <v>5.0</v>
      </c>
      <c r="N217" s="12">
        <v>5.0</v>
      </c>
      <c r="O217" s="12">
        <v>5.0</v>
      </c>
      <c r="P217" s="12">
        <v>10.0</v>
      </c>
    </row>
    <row r="218" ht="22.5" customHeight="1">
      <c r="A218" s="11">
        <v>46145.82814481482</v>
      </c>
      <c r="B218" s="12" t="s">
        <v>22</v>
      </c>
      <c r="C218" s="13">
        <v>46145.0</v>
      </c>
      <c r="D218" s="12" t="s">
        <v>29</v>
      </c>
      <c r="F218" s="12" t="s">
        <v>25</v>
      </c>
      <c r="G218" s="12" t="s">
        <v>43</v>
      </c>
      <c r="H218" s="12">
        <v>5.0</v>
      </c>
      <c r="I218" s="12">
        <v>5.0</v>
      </c>
      <c r="K218" s="12">
        <v>5.0</v>
      </c>
      <c r="M218" s="12">
        <v>5.0</v>
      </c>
      <c r="N218" s="12">
        <v>5.0</v>
      </c>
      <c r="O218" s="12">
        <v>5.0</v>
      </c>
      <c r="P218" s="12">
        <v>10.0</v>
      </c>
    </row>
    <row r="219" ht="22.5" customHeight="1">
      <c r="A219" s="11">
        <v>46145.83017287037</v>
      </c>
      <c r="B219" s="12" t="s">
        <v>22</v>
      </c>
      <c r="C219" s="13">
        <v>46145.0</v>
      </c>
      <c r="D219" s="12" t="s">
        <v>29</v>
      </c>
      <c r="E219" s="12" t="s">
        <v>169</v>
      </c>
      <c r="F219" s="12" t="s">
        <v>25</v>
      </c>
      <c r="G219" s="12" t="s">
        <v>234</v>
      </c>
      <c r="H219" s="12">
        <v>5.0</v>
      </c>
      <c r="I219" s="12">
        <v>4.0</v>
      </c>
      <c r="J219" s="12">
        <v>4.0</v>
      </c>
      <c r="K219" s="12">
        <v>5.0</v>
      </c>
      <c r="L219" s="12">
        <v>4.0</v>
      </c>
      <c r="M219" s="12">
        <v>5.0</v>
      </c>
      <c r="N219" s="12">
        <v>5.0</v>
      </c>
      <c r="O219" s="12">
        <v>5.0</v>
      </c>
      <c r="P219" s="12">
        <v>9.0</v>
      </c>
      <c r="Q219" s="12" t="s">
        <v>235</v>
      </c>
      <c r="R219" s="12" t="s">
        <v>236</v>
      </c>
      <c r="S219" s="14"/>
      <c r="T219" s="14"/>
      <c r="U219" s="14"/>
      <c r="V219" s="14"/>
    </row>
    <row r="220" ht="22.5" customHeight="1">
      <c r="A220" s="11">
        <v>46145.83072923611</v>
      </c>
      <c r="B220" s="12" t="s">
        <v>22</v>
      </c>
      <c r="C220" s="13">
        <v>46145.0</v>
      </c>
      <c r="D220" s="12" t="s">
        <v>29</v>
      </c>
      <c r="F220" s="12" t="s">
        <v>25</v>
      </c>
      <c r="G220" s="12" t="s">
        <v>69</v>
      </c>
      <c r="H220" s="12">
        <v>3.0</v>
      </c>
      <c r="I220" s="12">
        <v>3.0</v>
      </c>
      <c r="J220" s="12">
        <v>3.0</v>
      </c>
      <c r="K220" s="12">
        <v>3.0</v>
      </c>
      <c r="L220" s="12">
        <v>3.0</v>
      </c>
      <c r="M220" s="12">
        <v>3.0</v>
      </c>
      <c r="N220" s="12">
        <v>3.0</v>
      </c>
      <c r="O220" s="12">
        <v>3.0</v>
      </c>
      <c r="P220" s="12">
        <v>7.0</v>
      </c>
      <c r="Q220" s="12" t="s">
        <v>156</v>
      </c>
      <c r="R220" s="12" t="s">
        <v>237</v>
      </c>
      <c r="S220" s="14"/>
      <c r="T220" s="14"/>
      <c r="U220" s="14"/>
      <c r="V220" s="14"/>
    </row>
    <row r="221" ht="22.5" customHeight="1">
      <c r="A221" s="11">
        <v>46145.85721591435</v>
      </c>
      <c r="B221" s="12" t="s">
        <v>22</v>
      </c>
      <c r="C221" s="13">
        <v>46145.0</v>
      </c>
      <c r="D221" s="12" t="s">
        <v>29</v>
      </c>
      <c r="F221" s="12" t="s">
        <v>30</v>
      </c>
      <c r="G221" s="12" t="s">
        <v>62</v>
      </c>
      <c r="H221" s="12">
        <v>5.0</v>
      </c>
      <c r="I221" s="12">
        <v>5.0</v>
      </c>
      <c r="J221" s="12">
        <v>5.0</v>
      </c>
      <c r="K221" s="12">
        <v>5.0</v>
      </c>
      <c r="L221" s="12">
        <v>5.0</v>
      </c>
      <c r="M221" s="12">
        <v>5.0</v>
      </c>
      <c r="N221" s="12">
        <v>5.0</v>
      </c>
      <c r="O221" s="12">
        <v>5.0</v>
      </c>
      <c r="P221" s="12">
        <v>9.0</v>
      </c>
      <c r="Q221" s="12" t="s">
        <v>174</v>
      </c>
      <c r="R221" s="12" t="s">
        <v>71</v>
      </c>
      <c r="S221" s="14"/>
      <c r="T221" s="14"/>
      <c r="U221" s="14"/>
      <c r="V221" s="14"/>
    </row>
    <row r="222" ht="22.5" customHeight="1">
      <c r="A222" s="11">
        <v>46145.861131620375</v>
      </c>
      <c r="B222" s="12" t="s">
        <v>22</v>
      </c>
      <c r="C222" s="13">
        <v>46115.0</v>
      </c>
      <c r="D222" s="12" t="s">
        <v>29</v>
      </c>
      <c r="F222" s="12" t="s">
        <v>30</v>
      </c>
      <c r="G222" s="12" t="s">
        <v>238</v>
      </c>
      <c r="H222" s="12">
        <v>4.0</v>
      </c>
      <c r="I222" s="12">
        <v>3.0</v>
      </c>
      <c r="J222" s="12">
        <v>4.0</v>
      </c>
      <c r="K222" s="12">
        <v>3.0</v>
      </c>
      <c r="L222" s="12">
        <v>4.0</v>
      </c>
      <c r="M222" s="12">
        <v>3.0</v>
      </c>
      <c r="N222" s="12">
        <v>3.0</v>
      </c>
      <c r="P222" s="12">
        <v>7.0</v>
      </c>
    </row>
    <row r="223" ht="22.5" customHeight="1">
      <c r="A223" s="11">
        <v>46145.86290871528</v>
      </c>
      <c r="B223" s="12" t="s">
        <v>22</v>
      </c>
      <c r="C223" s="13">
        <v>46145.0</v>
      </c>
      <c r="D223" s="12" t="s">
        <v>29</v>
      </c>
      <c r="F223" s="12" t="s">
        <v>30</v>
      </c>
      <c r="G223" s="12" t="s">
        <v>69</v>
      </c>
      <c r="H223" s="12">
        <v>4.0</v>
      </c>
      <c r="I223" s="12">
        <v>4.0</v>
      </c>
      <c r="J223" s="12">
        <v>4.0</v>
      </c>
      <c r="K223" s="12">
        <v>4.0</v>
      </c>
      <c r="L223" s="12">
        <v>4.0</v>
      </c>
      <c r="M223" s="12">
        <v>4.0</v>
      </c>
      <c r="N223" s="12">
        <v>4.0</v>
      </c>
      <c r="O223" s="12">
        <v>4.0</v>
      </c>
      <c r="P223" s="12">
        <v>9.0</v>
      </c>
    </row>
    <row r="224" ht="22.5" customHeight="1">
      <c r="A224" s="11">
        <v>46145.8648354051</v>
      </c>
      <c r="B224" s="12" t="s">
        <v>22</v>
      </c>
      <c r="C224" s="13">
        <v>46145.0</v>
      </c>
      <c r="D224" s="12" t="s">
        <v>29</v>
      </c>
      <c r="F224" s="12" t="s">
        <v>30</v>
      </c>
      <c r="G224" s="12" t="s">
        <v>43</v>
      </c>
      <c r="H224" s="12">
        <v>4.0</v>
      </c>
      <c r="I224" s="12">
        <v>5.0</v>
      </c>
      <c r="J224" s="12">
        <v>5.0</v>
      </c>
      <c r="K224" s="12">
        <v>5.0</v>
      </c>
      <c r="L224" s="12">
        <v>5.0</v>
      </c>
      <c r="M224" s="12">
        <v>5.0</v>
      </c>
      <c r="N224" s="12">
        <v>5.0</v>
      </c>
      <c r="O224" s="12">
        <v>5.0</v>
      </c>
      <c r="P224" s="12">
        <v>9.0</v>
      </c>
      <c r="Q224" s="12" t="s">
        <v>239</v>
      </c>
      <c r="R224" s="12" t="s">
        <v>120</v>
      </c>
      <c r="S224" s="14"/>
      <c r="T224" s="14"/>
      <c r="U224" s="14"/>
      <c r="V224" s="14"/>
    </row>
    <row r="225" ht="22.5" customHeight="1">
      <c r="A225" s="11">
        <v>46145.87095679398</v>
      </c>
      <c r="B225" s="12" t="s">
        <v>22</v>
      </c>
      <c r="C225" s="13">
        <v>46145.0</v>
      </c>
      <c r="D225" s="12" t="s">
        <v>29</v>
      </c>
      <c r="E225" s="12" t="s">
        <v>61</v>
      </c>
      <c r="F225" s="12" t="s">
        <v>30</v>
      </c>
      <c r="G225" s="12" t="s">
        <v>43</v>
      </c>
      <c r="H225" s="12">
        <v>3.0</v>
      </c>
      <c r="I225" s="12">
        <v>3.0</v>
      </c>
      <c r="J225" s="12">
        <v>2.0</v>
      </c>
      <c r="K225" s="12">
        <v>2.0</v>
      </c>
      <c r="L225" s="12">
        <v>3.0</v>
      </c>
      <c r="M225" s="12">
        <v>3.0</v>
      </c>
      <c r="N225" s="12">
        <v>3.0</v>
      </c>
      <c r="O225" s="12">
        <v>3.0</v>
      </c>
      <c r="P225" s="12">
        <v>4.0</v>
      </c>
      <c r="Q225" s="12" t="s">
        <v>120</v>
      </c>
      <c r="R225" s="12" t="s">
        <v>71</v>
      </c>
      <c r="S225" s="14"/>
      <c r="T225" s="14"/>
      <c r="U225" s="14"/>
      <c r="V225" s="14"/>
    </row>
    <row r="226" ht="22.5" customHeight="1">
      <c r="A226" s="11">
        <v>46145.879368379625</v>
      </c>
      <c r="B226" s="12" t="s">
        <v>22</v>
      </c>
      <c r="C226" s="13">
        <v>46144.0</v>
      </c>
      <c r="D226" s="12" t="s">
        <v>29</v>
      </c>
      <c r="F226" s="12" t="s">
        <v>30</v>
      </c>
      <c r="G226" s="12" t="s">
        <v>43</v>
      </c>
      <c r="H226" s="12">
        <v>5.0</v>
      </c>
      <c r="I226" s="12">
        <v>4.0</v>
      </c>
      <c r="J226" s="12">
        <v>5.0</v>
      </c>
      <c r="K226" s="12">
        <v>5.0</v>
      </c>
      <c r="L226" s="12">
        <v>4.0</v>
      </c>
      <c r="M226" s="12">
        <v>4.0</v>
      </c>
      <c r="N226" s="12">
        <v>5.0</v>
      </c>
      <c r="O226" s="12">
        <v>4.0</v>
      </c>
      <c r="P226" s="12">
        <v>8.0</v>
      </c>
    </row>
    <row r="227" ht="22.5" customHeight="1">
      <c r="A227" s="11">
        <v>46145.880353252316</v>
      </c>
      <c r="B227" s="12" t="s">
        <v>22</v>
      </c>
      <c r="C227" s="13">
        <v>46145.0</v>
      </c>
      <c r="D227" s="12" t="s">
        <v>29</v>
      </c>
      <c r="E227" s="12" t="s">
        <v>240</v>
      </c>
      <c r="F227" s="12" t="s">
        <v>25</v>
      </c>
      <c r="G227" s="12" t="s">
        <v>43</v>
      </c>
      <c r="H227" s="12">
        <v>5.0</v>
      </c>
      <c r="I227" s="12">
        <v>5.0</v>
      </c>
      <c r="J227" s="12">
        <v>5.0</v>
      </c>
      <c r="K227" s="12">
        <v>5.0</v>
      </c>
      <c r="L227" s="12">
        <v>5.0</v>
      </c>
      <c r="M227" s="12">
        <v>5.0</v>
      </c>
      <c r="N227" s="12">
        <v>5.0</v>
      </c>
      <c r="O227" s="12">
        <v>5.0</v>
      </c>
      <c r="P227" s="12">
        <v>10.0</v>
      </c>
    </row>
    <row r="228" ht="22.5" customHeight="1">
      <c r="A228" s="11">
        <v>46145.88653240741</v>
      </c>
      <c r="B228" s="12" t="s">
        <v>22</v>
      </c>
      <c r="C228" s="13">
        <v>46140.0</v>
      </c>
      <c r="D228" s="12" t="s">
        <v>29</v>
      </c>
      <c r="E228" s="12" t="s">
        <v>176</v>
      </c>
      <c r="F228" s="12" t="s">
        <v>68</v>
      </c>
      <c r="G228" s="12" t="s">
        <v>241</v>
      </c>
      <c r="H228" s="12">
        <v>4.0</v>
      </c>
      <c r="I228" s="12">
        <v>4.0</v>
      </c>
      <c r="J228" s="12">
        <v>5.0</v>
      </c>
      <c r="K228" s="12">
        <v>4.0</v>
      </c>
      <c r="L228" s="12">
        <v>5.0</v>
      </c>
      <c r="M228" s="12">
        <v>5.0</v>
      </c>
      <c r="N228" s="12">
        <v>5.0</v>
      </c>
      <c r="O228" s="12">
        <v>4.0</v>
      </c>
      <c r="P228" s="12">
        <v>8.0</v>
      </c>
      <c r="Q228" s="12" t="s">
        <v>38</v>
      </c>
      <c r="R228" s="12" t="s">
        <v>38</v>
      </c>
      <c r="S228" s="14"/>
      <c r="T228" s="14"/>
      <c r="U228" s="14"/>
      <c r="V228" s="14"/>
    </row>
    <row r="229" ht="22.5" customHeight="1">
      <c r="A229" s="11">
        <v>46145.8870239699</v>
      </c>
      <c r="B229" s="12" t="s">
        <v>22</v>
      </c>
      <c r="C229" s="13">
        <v>46145.0</v>
      </c>
      <c r="D229" s="12" t="s">
        <v>29</v>
      </c>
      <c r="F229" s="12" t="s">
        <v>30</v>
      </c>
      <c r="G229" s="12" t="s">
        <v>26</v>
      </c>
      <c r="H229" s="12">
        <v>5.0</v>
      </c>
      <c r="I229" s="12">
        <v>5.0</v>
      </c>
      <c r="J229" s="12">
        <v>4.0</v>
      </c>
      <c r="K229" s="12">
        <v>5.0</v>
      </c>
      <c r="L229" s="12">
        <v>5.0</v>
      </c>
      <c r="M229" s="12">
        <v>5.0</v>
      </c>
      <c r="N229" s="12">
        <v>5.0</v>
      </c>
      <c r="O229" s="12">
        <v>5.0</v>
      </c>
      <c r="P229" s="12">
        <v>10.0</v>
      </c>
    </row>
    <row r="230" ht="22.5" customHeight="1">
      <c r="A230" s="11">
        <v>46145.887411585645</v>
      </c>
      <c r="B230" s="12" t="s">
        <v>22</v>
      </c>
      <c r="C230" s="13">
        <v>46145.0</v>
      </c>
      <c r="D230" s="12" t="s">
        <v>29</v>
      </c>
      <c r="E230" s="12" t="s">
        <v>242</v>
      </c>
      <c r="F230" s="12" t="s">
        <v>30</v>
      </c>
      <c r="G230" s="12" t="s">
        <v>243</v>
      </c>
      <c r="H230" s="12">
        <v>2.0</v>
      </c>
      <c r="I230" s="12">
        <v>3.0</v>
      </c>
      <c r="J230" s="12">
        <v>4.0</v>
      </c>
      <c r="K230" s="12">
        <v>3.0</v>
      </c>
      <c r="L230" s="12">
        <v>3.0</v>
      </c>
      <c r="M230" s="12">
        <v>4.0</v>
      </c>
      <c r="N230" s="12">
        <v>4.0</v>
      </c>
      <c r="O230" s="12">
        <v>4.0</v>
      </c>
      <c r="P230" s="12">
        <v>8.0</v>
      </c>
      <c r="Q230" s="12" t="s">
        <v>244</v>
      </c>
      <c r="R230" s="12" t="s">
        <v>38</v>
      </c>
      <c r="S230" s="14"/>
      <c r="T230" s="14"/>
      <c r="U230" s="14"/>
      <c r="V230" s="14"/>
    </row>
    <row r="231" ht="22.5" customHeight="1">
      <c r="A231" s="11">
        <v>46145.88798408565</v>
      </c>
      <c r="B231" s="12" t="s">
        <v>22</v>
      </c>
      <c r="C231" s="13">
        <v>46115.0</v>
      </c>
      <c r="D231" s="12" t="s">
        <v>29</v>
      </c>
      <c r="F231" s="12" t="s">
        <v>25</v>
      </c>
      <c r="G231" s="12" t="s">
        <v>43</v>
      </c>
      <c r="H231" s="12">
        <v>4.0</v>
      </c>
      <c r="I231" s="12">
        <v>5.0</v>
      </c>
      <c r="J231" s="12">
        <v>4.0</v>
      </c>
      <c r="K231" s="12">
        <v>5.0</v>
      </c>
      <c r="L231" s="12">
        <v>4.0</v>
      </c>
      <c r="M231" s="12">
        <v>4.0</v>
      </c>
      <c r="N231" s="12">
        <v>5.0</v>
      </c>
      <c r="O231" s="12">
        <v>5.0</v>
      </c>
      <c r="P231" s="12">
        <v>6.0</v>
      </c>
    </row>
    <row r="232" ht="22.5" customHeight="1">
      <c r="A232" s="11">
        <v>46145.89602984954</v>
      </c>
      <c r="B232" s="12" t="s">
        <v>22</v>
      </c>
      <c r="C232" s="13">
        <v>46145.0</v>
      </c>
      <c r="D232" s="12" t="s">
        <v>29</v>
      </c>
      <c r="F232" s="12" t="s">
        <v>25</v>
      </c>
      <c r="G232" s="12" t="s">
        <v>69</v>
      </c>
      <c r="H232" s="12">
        <v>4.0</v>
      </c>
      <c r="I232" s="12">
        <v>4.0</v>
      </c>
      <c r="J232" s="12">
        <v>4.0</v>
      </c>
      <c r="K232" s="12">
        <v>4.0</v>
      </c>
      <c r="L232" s="12">
        <v>4.0</v>
      </c>
      <c r="M232" s="12">
        <v>4.0</v>
      </c>
      <c r="N232" s="12">
        <v>4.0</v>
      </c>
      <c r="O232" s="12">
        <v>4.0</v>
      </c>
      <c r="P232" s="12">
        <v>7.0</v>
      </c>
    </row>
    <row r="233" ht="22.5" customHeight="1">
      <c r="A233" s="11">
        <v>46145.89933277778</v>
      </c>
      <c r="B233" s="12" t="s">
        <v>22</v>
      </c>
      <c r="C233" s="13">
        <v>46143.0</v>
      </c>
      <c r="D233" s="12" t="s">
        <v>29</v>
      </c>
      <c r="E233" s="12" t="s">
        <v>245</v>
      </c>
      <c r="F233" s="12" t="s">
        <v>30</v>
      </c>
      <c r="G233" s="12" t="s">
        <v>43</v>
      </c>
      <c r="H233" s="12">
        <v>5.0</v>
      </c>
      <c r="I233" s="12">
        <v>5.0</v>
      </c>
      <c r="J233" s="12">
        <v>5.0</v>
      </c>
      <c r="K233" s="12">
        <v>5.0</v>
      </c>
      <c r="L233" s="12">
        <v>5.0</v>
      </c>
      <c r="M233" s="12">
        <v>5.0</v>
      </c>
      <c r="N233" s="12">
        <v>5.0</v>
      </c>
      <c r="O233" s="12">
        <v>5.0</v>
      </c>
      <c r="P233" s="12">
        <v>8.0</v>
      </c>
      <c r="R233" s="12" t="s">
        <v>246</v>
      </c>
      <c r="S233" s="14"/>
      <c r="T233" s="14"/>
      <c r="U233" s="14"/>
      <c r="V233" s="14"/>
    </row>
    <row r="234" ht="22.5" customHeight="1">
      <c r="A234" s="11">
        <v>46145.90035626157</v>
      </c>
      <c r="B234" s="12" t="s">
        <v>22</v>
      </c>
      <c r="C234" s="13">
        <v>46145.0</v>
      </c>
      <c r="D234" s="12" t="s">
        <v>29</v>
      </c>
      <c r="F234" s="12" t="s">
        <v>30</v>
      </c>
      <c r="G234" s="12" t="s">
        <v>43</v>
      </c>
      <c r="H234" s="12">
        <v>5.0</v>
      </c>
      <c r="I234" s="12">
        <v>5.0</v>
      </c>
      <c r="J234" s="12">
        <v>5.0</v>
      </c>
      <c r="K234" s="12">
        <v>5.0</v>
      </c>
      <c r="L234" s="12">
        <v>5.0</v>
      </c>
      <c r="M234" s="12">
        <v>5.0</v>
      </c>
      <c r="N234" s="12">
        <v>5.0</v>
      </c>
      <c r="O234" s="12">
        <v>5.0</v>
      </c>
      <c r="P234" s="12">
        <v>8.0</v>
      </c>
    </row>
    <row r="235" ht="22.5" customHeight="1">
      <c r="A235" s="11">
        <v>46145.901311875</v>
      </c>
      <c r="B235" s="12" t="s">
        <v>22</v>
      </c>
      <c r="C235" s="13">
        <v>46145.0</v>
      </c>
      <c r="D235" s="12" t="s">
        <v>29</v>
      </c>
      <c r="E235" s="12" t="s">
        <v>85</v>
      </c>
      <c r="F235" s="12" t="s">
        <v>25</v>
      </c>
      <c r="G235" s="12" t="s">
        <v>43</v>
      </c>
      <c r="H235" s="12">
        <v>5.0</v>
      </c>
      <c r="I235" s="12">
        <v>5.0</v>
      </c>
      <c r="J235" s="12">
        <v>5.0</v>
      </c>
      <c r="K235" s="12">
        <v>5.0</v>
      </c>
      <c r="L235" s="12">
        <v>5.0</v>
      </c>
      <c r="M235" s="12">
        <v>5.0</v>
      </c>
      <c r="N235" s="12">
        <v>5.0</v>
      </c>
      <c r="O235" s="12">
        <v>5.0</v>
      </c>
      <c r="P235" s="12">
        <v>10.0</v>
      </c>
    </row>
    <row r="236" ht="22.5" customHeight="1">
      <c r="A236" s="11">
        <v>46145.90333050926</v>
      </c>
      <c r="B236" s="12" t="s">
        <v>22</v>
      </c>
      <c r="C236" s="13">
        <v>46145.0</v>
      </c>
      <c r="D236" s="12" t="s">
        <v>29</v>
      </c>
      <c r="E236" s="12" t="s">
        <v>85</v>
      </c>
      <c r="F236" s="12" t="s">
        <v>25</v>
      </c>
      <c r="G236" s="12" t="s">
        <v>69</v>
      </c>
      <c r="H236" s="12">
        <v>3.0</v>
      </c>
      <c r="I236" s="12">
        <v>5.0</v>
      </c>
      <c r="J236" s="12">
        <v>5.0</v>
      </c>
      <c r="K236" s="12">
        <v>5.0</v>
      </c>
      <c r="L236" s="12">
        <v>5.0</v>
      </c>
      <c r="M236" s="12">
        <v>5.0</v>
      </c>
      <c r="N236" s="12">
        <v>5.0</v>
      </c>
      <c r="O236" s="12">
        <v>5.0</v>
      </c>
      <c r="P236" s="12">
        <v>9.0</v>
      </c>
      <c r="Q236" s="12" t="s">
        <v>247</v>
      </c>
    </row>
    <row r="237" ht="22.5" customHeight="1">
      <c r="A237" s="11">
        <v>46145.90356144676</v>
      </c>
      <c r="B237" s="12" t="s">
        <v>22</v>
      </c>
      <c r="C237" s="13">
        <v>46145.0</v>
      </c>
      <c r="D237" s="12" t="s">
        <v>29</v>
      </c>
      <c r="F237" s="12" t="s">
        <v>25</v>
      </c>
      <c r="G237" s="12" t="s">
        <v>43</v>
      </c>
      <c r="H237" s="12">
        <v>5.0</v>
      </c>
      <c r="I237" s="12">
        <v>5.0</v>
      </c>
      <c r="J237" s="12">
        <v>5.0</v>
      </c>
      <c r="K237" s="12">
        <v>5.0</v>
      </c>
      <c r="L237" s="12">
        <v>5.0</v>
      </c>
      <c r="M237" s="12">
        <v>5.0</v>
      </c>
      <c r="N237" s="12">
        <v>5.0</v>
      </c>
      <c r="O237" s="12">
        <v>5.0</v>
      </c>
      <c r="P237" s="12">
        <v>10.0</v>
      </c>
    </row>
    <row r="238" ht="22.5" customHeight="1">
      <c r="A238" s="11">
        <v>46145.914924571756</v>
      </c>
      <c r="B238" s="12" t="s">
        <v>22</v>
      </c>
      <c r="C238" s="13">
        <v>39213.0</v>
      </c>
      <c r="D238" s="12" t="s">
        <v>29</v>
      </c>
      <c r="E238" s="12" t="s">
        <v>248</v>
      </c>
      <c r="F238" s="12" t="s">
        <v>25</v>
      </c>
      <c r="G238" s="12" t="s">
        <v>43</v>
      </c>
      <c r="H238" s="12">
        <v>5.0</v>
      </c>
      <c r="I238" s="12">
        <v>5.0</v>
      </c>
      <c r="J238" s="12">
        <v>5.0</v>
      </c>
      <c r="K238" s="12">
        <v>5.0</v>
      </c>
      <c r="L238" s="12">
        <v>5.0</v>
      </c>
      <c r="M238" s="12">
        <v>5.0</v>
      </c>
      <c r="N238" s="12">
        <v>5.0</v>
      </c>
      <c r="O238" s="12">
        <v>5.0</v>
      </c>
      <c r="P238" s="12">
        <v>7.0</v>
      </c>
    </row>
    <row r="239" ht="22.5" customHeight="1">
      <c r="A239" s="11">
        <v>46145.91558346065</v>
      </c>
      <c r="B239" s="12" t="s">
        <v>22</v>
      </c>
      <c r="C239" s="13">
        <v>46142.0</v>
      </c>
      <c r="D239" s="12" t="s">
        <v>29</v>
      </c>
      <c r="E239" s="12" t="s">
        <v>119</v>
      </c>
      <c r="F239" s="12" t="s">
        <v>30</v>
      </c>
      <c r="G239" s="12" t="s">
        <v>249</v>
      </c>
      <c r="H239" s="12">
        <v>4.0</v>
      </c>
      <c r="I239" s="12">
        <v>4.0</v>
      </c>
      <c r="J239" s="12">
        <v>4.0</v>
      </c>
      <c r="K239" s="12">
        <v>4.0</v>
      </c>
      <c r="L239" s="12">
        <v>4.0</v>
      </c>
      <c r="M239" s="12">
        <v>4.0</v>
      </c>
      <c r="N239" s="12">
        <v>4.0</v>
      </c>
      <c r="O239" s="12">
        <v>4.0</v>
      </c>
      <c r="P239" s="12">
        <v>9.0</v>
      </c>
      <c r="Q239" s="12" t="s">
        <v>250</v>
      </c>
      <c r="R239" s="12" t="s">
        <v>251</v>
      </c>
      <c r="S239" s="14"/>
      <c r="T239" s="14"/>
      <c r="U239" s="14"/>
      <c r="V239" s="14"/>
    </row>
    <row r="240" ht="22.5" customHeight="1">
      <c r="A240" s="11">
        <v>46145.92763967592</v>
      </c>
      <c r="B240" s="12" t="s">
        <v>22</v>
      </c>
      <c r="C240" s="13">
        <v>46145.0</v>
      </c>
      <c r="D240" s="12" t="s">
        <v>29</v>
      </c>
      <c r="F240" s="12" t="s">
        <v>25</v>
      </c>
      <c r="G240" s="12" t="s">
        <v>26</v>
      </c>
      <c r="H240" s="12">
        <v>3.0</v>
      </c>
      <c r="I240" s="12">
        <v>4.0</v>
      </c>
      <c r="J240" s="12">
        <v>4.0</v>
      </c>
      <c r="K240" s="12">
        <v>4.0</v>
      </c>
      <c r="L240" s="12">
        <v>3.0</v>
      </c>
      <c r="M240" s="12">
        <v>4.0</v>
      </c>
      <c r="N240" s="12">
        <v>5.0</v>
      </c>
      <c r="O240" s="12">
        <v>4.0</v>
      </c>
      <c r="P240" s="12">
        <v>8.0</v>
      </c>
    </row>
    <row r="241" ht="22.5" customHeight="1">
      <c r="A241" s="11">
        <v>46145.93323445602</v>
      </c>
      <c r="B241" s="12" t="s">
        <v>22</v>
      </c>
      <c r="C241" s="13">
        <v>46141.0</v>
      </c>
      <c r="D241" s="12" t="s">
        <v>29</v>
      </c>
      <c r="E241" s="12" t="s">
        <v>192</v>
      </c>
      <c r="F241" s="12" t="s">
        <v>30</v>
      </c>
      <c r="G241" s="12" t="s">
        <v>62</v>
      </c>
      <c r="H241" s="12">
        <v>4.0</v>
      </c>
      <c r="I241" s="12">
        <v>3.0</v>
      </c>
      <c r="J241" s="12">
        <v>2.0</v>
      </c>
      <c r="K241" s="12">
        <v>2.0</v>
      </c>
      <c r="L241" s="12">
        <v>2.0</v>
      </c>
      <c r="M241" s="12">
        <v>2.0</v>
      </c>
      <c r="N241" s="12">
        <v>1.0</v>
      </c>
      <c r="O241" s="12">
        <v>1.0</v>
      </c>
      <c r="P241" s="12">
        <v>5.0</v>
      </c>
    </row>
    <row r="242" ht="22.5" customHeight="1">
      <c r="A242" s="11">
        <v>46145.93763151621</v>
      </c>
      <c r="B242" s="12" t="s">
        <v>22</v>
      </c>
      <c r="C242" s="13">
        <v>46142.0</v>
      </c>
      <c r="D242" s="12" t="s">
        <v>29</v>
      </c>
      <c r="E242" s="12" t="s">
        <v>252</v>
      </c>
      <c r="F242" s="12" t="s">
        <v>30</v>
      </c>
      <c r="G242" s="12" t="s">
        <v>69</v>
      </c>
      <c r="H242" s="12">
        <v>2.0</v>
      </c>
      <c r="I242" s="12">
        <v>4.0</v>
      </c>
      <c r="J242" s="12">
        <v>3.0</v>
      </c>
      <c r="K242" s="12">
        <v>3.0</v>
      </c>
      <c r="L242" s="12">
        <v>3.0</v>
      </c>
      <c r="M242" s="12">
        <v>2.0</v>
      </c>
      <c r="N242" s="12">
        <v>1.0</v>
      </c>
      <c r="O242" s="12">
        <v>2.0</v>
      </c>
      <c r="P242" s="12">
        <v>5.0</v>
      </c>
      <c r="Q242" s="12" t="s">
        <v>253</v>
      </c>
      <c r="R242" s="12" t="s">
        <v>254</v>
      </c>
      <c r="S242" s="14"/>
      <c r="T242" s="14"/>
      <c r="U242" s="14"/>
      <c r="V242" s="14"/>
    </row>
    <row r="243" ht="22.5" customHeight="1">
      <c r="A243" s="11">
        <v>46145.93854478009</v>
      </c>
      <c r="B243" s="12" t="s">
        <v>22</v>
      </c>
      <c r="C243" s="13">
        <v>46145.0</v>
      </c>
      <c r="D243" s="12" t="s">
        <v>29</v>
      </c>
      <c r="F243" s="12" t="s">
        <v>30</v>
      </c>
      <c r="G243" s="12" t="s">
        <v>43</v>
      </c>
      <c r="H243" s="12">
        <v>5.0</v>
      </c>
      <c r="I243" s="12">
        <v>5.0</v>
      </c>
      <c r="J243" s="12">
        <v>5.0</v>
      </c>
      <c r="K243" s="12">
        <v>5.0</v>
      </c>
      <c r="L243" s="12">
        <v>5.0</v>
      </c>
      <c r="M243" s="12">
        <v>5.0</v>
      </c>
      <c r="N243" s="12">
        <v>5.0</v>
      </c>
      <c r="O243" s="12">
        <v>5.0</v>
      </c>
      <c r="P243" s="12">
        <v>10.0</v>
      </c>
    </row>
    <row r="244" ht="22.5" customHeight="1">
      <c r="A244" s="11">
        <v>46145.9419890162</v>
      </c>
      <c r="B244" s="12" t="s">
        <v>22</v>
      </c>
      <c r="C244" s="13">
        <v>46143.0</v>
      </c>
      <c r="D244" s="12" t="s">
        <v>29</v>
      </c>
      <c r="F244" s="12" t="s">
        <v>25</v>
      </c>
      <c r="G244" s="12" t="s">
        <v>69</v>
      </c>
      <c r="H244" s="12">
        <v>4.0</v>
      </c>
      <c r="I244" s="12">
        <v>4.0</v>
      </c>
      <c r="J244" s="12">
        <v>4.0</v>
      </c>
      <c r="K244" s="12">
        <v>5.0</v>
      </c>
      <c r="L244" s="12">
        <v>3.0</v>
      </c>
      <c r="M244" s="12">
        <v>5.0</v>
      </c>
      <c r="N244" s="12">
        <v>3.0</v>
      </c>
      <c r="O244" s="12">
        <v>4.0</v>
      </c>
      <c r="P244" s="12">
        <v>10.0</v>
      </c>
      <c r="Q244" s="12" t="s">
        <v>255</v>
      </c>
      <c r="R244" s="12" t="s">
        <v>256</v>
      </c>
      <c r="S244" s="14"/>
      <c r="T244" s="14"/>
      <c r="U244" s="14"/>
      <c r="V244" s="14"/>
    </row>
    <row r="245" ht="22.5" customHeight="1">
      <c r="A245" s="11">
        <v>46145.98107146991</v>
      </c>
      <c r="B245" s="12" t="s">
        <v>22</v>
      </c>
      <c r="C245" s="13">
        <v>46145.0</v>
      </c>
      <c r="D245" s="12" t="s">
        <v>29</v>
      </c>
      <c r="F245" s="12" t="s">
        <v>30</v>
      </c>
      <c r="G245" s="12" t="s">
        <v>43</v>
      </c>
      <c r="H245" s="12">
        <v>4.0</v>
      </c>
      <c r="I245" s="12">
        <v>5.0</v>
      </c>
      <c r="J245" s="12">
        <v>5.0</v>
      </c>
      <c r="K245" s="12">
        <v>5.0</v>
      </c>
      <c r="L245" s="12">
        <v>5.0</v>
      </c>
      <c r="M245" s="12">
        <v>5.0</v>
      </c>
      <c r="N245" s="12">
        <v>5.0</v>
      </c>
      <c r="O245" s="12">
        <v>5.0</v>
      </c>
      <c r="P245" s="12">
        <v>10.0</v>
      </c>
    </row>
    <row r="246" ht="22.5" customHeight="1">
      <c r="A246" s="11">
        <v>46145.9866516551</v>
      </c>
      <c r="B246" s="12" t="s">
        <v>22</v>
      </c>
      <c r="C246" s="13">
        <v>46142.0</v>
      </c>
      <c r="D246" s="12" t="s">
        <v>29</v>
      </c>
      <c r="F246" s="12" t="s">
        <v>25</v>
      </c>
      <c r="G246" s="12" t="s">
        <v>43</v>
      </c>
      <c r="H246" s="12">
        <v>5.0</v>
      </c>
      <c r="I246" s="12">
        <v>5.0</v>
      </c>
      <c r="J246" s="12">
        <v>5.0</v>
      </c>
      <c r="K246" s="12">
        <v>5.0</v>
      </c>
      <c r="L246" s="12">
        <v>5.0</v>
      </c>
      <c r="M246" s="12">
        <v>5.0</v>
      </c>
      <c r="N246" s="12">
        <v>5.0</v>
      </c>
      <c r="O246" s="12">
        <v>5.0</v>
      </c>
      <c r="P246" s="12">
        <v>10.0</v>
      </c>
      <c r="Q246" s="12" t="s">
        <v>44</v>
      </c>
      <c r="R246" s="12" t="s">
        <v>71</v>
      </c>
      <c r="S246" s="14"/>
      <c r="T246" s="14"/>
      <c r="U246" s="14"/>
      <c r="V246" s="14"/>
    </row>
    <row r="247" ht="22.5" customHeight="1">
      <c r="A247" s="11">
        <v>46146.079871168986</v>
      </c>
      <c r="B247" s="12" t="s">
        <v>22</v>
      </c>
      <c r="C247" s="13">
        <v>46146.0</v>
      </c>
      <c r="D247" s="12" t="s">
        <v>29</v>
      </c>
      <c r="F247" s="12" t="s">
        <v>25</v>
      </c>
      <c r="G247" s="12" t="s">
        <v>185</v>
      </c>
      <c r="H247" s="12">
        <v>3.0</v>
      </c>
      <c r="I247" s="12">
        <v>3.0</v>
      </c>
      <c r="J247" s="12">
        <v>4.0</v>
      </c>
      <c r="K247" s="12">
        <v>3.0</v>
      </c>
      <c r="L247" s="12">
        <v>3.0</v>
      </c>
      <c r="M247" s="12">
        <v>3.0</v>
      </c>
      <c r="N247" s="12">
        <v>4.0</v>
      </c>
      <c r="O247" s="12">
        <v>3.0</v>
      </c>
      <c r="P247" s="12">
        <v>10.0</v>
      </c>
    </row>
    <row r="248" ht="22.5" customHeight="1">
      <c r="A248" s="11">
        <v>46146.32235240741</v>
      </c>
      <c r="B248" s="12" t="s">
        <v>22</v>
      </c>
      <c r="C248" s="13">
        <v>46146.0</v>
      </c>
      <c r="D248" s="12" t="s">
        <v>29</v>
      </c>
      <c r="E248" s="12" t="s">
        <v>119</v>
      </c>
      <c r="F248" s="12" t="s">
        <v>30</v>
      </c>
      <c r="G248" s="12" t="s">
        <v>26</v>
      </c>
      <c r="H248" s="12">
        <v>4.0</v>
      </c>
      <c r="I248" s="12">
        <v>4.0</v>
      </c>
      <c r="J248" s="12">
        <v>4.0</v>
      </c>
      <c r="K248" s="12">
        <v>4.0</v>
      </c>
      <c r="L248" s="12">
        <v>4.0</v>
      </c>
      <c r="M248" s="12">
        <v>4.0</v>
      </c>
      <c r="N248" s="12">
        <v>4.0</v>
      </c>
      <c r="O248" s="12">
        <v>4.0</v>
      </c>
      <c r="P248" s="12">
        <v>9.0</v>
      </c>
    </row>
    <row r="249" ht="22.5" customHeight="1">
      <c r="A249" s="11">
        <v>46146.324307118055</v>
      </c>
      <c r="B249" s="12" t="s">
        <v>22</v>
      </c>
      <c r="C249" s="13" t="s">
        <v>257</v>
      </c>
      <c r="D249" s="12" t="s">
        <v>29</v>
      </c>
      <c r="E249" s="12" t="s">
        <v>240</v>
      </c>
      <c r="F249" s="12" t="s">
        <v>25</v>
      </c>
      <c r="G249" s="12" t="s">
        <v>26</v>
      </c>
      <c r="H249" s="12">
        <v>5.0</v>
      </c>
      <c r="I249" s="12">
        <v>5.0</v>
      </c>
      <c r="J249" s="12">
        <v>5.0</v>
      </c>
      <c r="K249" s="12">
        <v>5.0</v>
      </c>
      <c r="L249" s="12">
        <v>5.0</v>
      </c>
      <c r="M249" s="12">
        <v>5.0</v>
      </c>
      <c r="N249" s="12">
        <v>5.0</v>
      </c>
      <c r="O249" s="12">
        <v>5.0</v>
      </c>
      <c r="P249" s="12">
        <v>10.0</v>
      </c>
    </row>
    <row r="250" ht="22.5" customHeight="1">
      <c r="A250" s="11">
        <v>46146.32488886574</v>
      </c>
      <c r="B250" s="12" t="s">
        <v>22</v>
      </c>
      <c r="C250" s="13">
        <v>46146.0</v>
      </c>
      <c r="D250" s="12" t="s">
        <v>29</v>
      </c>
      <c r="F250" s="12" t="s">
        <v>25</v>
      </c>
      <c r="G250" s="12" t="s">
        <v>43</v>
      </c>
      <c r="H250" s="12">
        <v>4.0</v>
      </c>
      <c r="I250" s="12">
        <v>4.0</v>
      </c>
      <c r="J250" s="12">
        <v>4.0</v>
      </c>
      <c r="K250" s="12">
        <v>4.0</v>
      </c>
      <c r="L250" s="12">
        <v>4.0</v>
      </c>
      <c r="M250" s="12">
        <v>4.0</v>
      </c>
      <c r="N250" s="12">
        <v>4.0</v>
      </c>
      <c r="O250" s="12">
        <v>4.0</v>
      </c>
      <c r="P250" s="12">
        <v>6.0</v>
      </c>
    </row>
    <row r="251" ht="22.5" customHeight="1">
      <c r="A251" s="11">
        <v>46146.326035844904</v>
      </c>
      <c r="B251" s="12" t="s">
        <v>22</v>
      </c>
      <c r="C251" s="13">
        <v>46146.0</v>
      </c>
      <c r="D251" s="12" t="s">
        <v>29</v>
      </c>
      <c r="E251" s="12" t="s">
        <v>24</v>
      </c>
      <c r="F251" s="12" t="s">
        <v>30</v>
      </c>
      <c r="G251" s="12" t="s">
        <v>43</v>
      </c>
      <c r="H251" s="12">
        <v>3.0</v>
      </c>
      <c r="I251" s="12">
        <v>3.0</v>
      </c>
      <c r="J251" s="12">
        <v>4.0</v>
      </c>
      <c r="K251" s="12">
        <v>3.0</v>
      </c>
      <c r="L251" s="12">
        <v>4.0</v>
      </c>
      <c r="M251" s="12">
        <v>3.0</v>
      </c>
      <c r="N251" s="12">
        <v>3.0</v>
      </c>
      <c r="O251" s="12">
        <v>4.0</v>
      </c>
      <c r="P251" s="12">
        <v>8.0</v>
      </c>
      <c r="Q251" s="12" t="s">
        <v>71</v>
      </c>
      <c r="R251" s="12" t="s">
        <v>71</v>
      </c>
      <c r="S251" s="14"/>
      <c r="T251" s="14"/>
      <c r="U251" s="14"/>
      <c r="V251" s="14"/>
    </row>
    <row r="252" ht="22.5" customHeight="1">
      <c r="A252" s="11">
        <v>46146.37032408565</v>
      </c>
      <c r="B252" s="12" t="s">
        <v>22</v>
      </c>
      <c r="C252" s="13">
        <v>46146.0</v>
      </c>
      <c r="D252" s="12" t="s">
        <v>29</v>
      </c>
      <c r="E252" s="12" t="s">
        <v>197</v>
      </c>
      <c r="F252" s="12" t="s">
        <v>30</v>
      </c>
      <c r="G252" s="12" t="s">
        <v>43</v>
      </c>
      <c r="H252" s="12">
        <v>5.0</v>
      </c>
      <c r="I252" s="12">
        <v>4.0</v>
      </c>
      <c r="J252" s="12">
        <v>4.0</v>
      </c>
      <c r="K252" s="12">
        <v>4.0</v>
      </c>
      <c r="L252" s="12">
        <v>4.0</v>
      </c>
      <c r="M252" s="12">
        <v>4.0</v>
      </c>
      <c r="N252" s="12">
        <v>4.0</v>
      </c>
      <c r="O252" s="12">
        <v>4.0</v>
      </c>
      <c r="P252" s="12">
        <v>9.0</v>
      </c>
    </row>
    <row r="253" ht="22.5" customHeight="1">
      <c r="A253" s="11">
        <v>46146.375740821764</v>
      </c>
      <c r="B253" s="12" t="s">
        <v>22</v>
      </c>
      <c r="C253" s="13">
        <v>46142.0</v>
      </c>
      <c r="D253" s="12" t="s">
        <v>29</v>
      </c>
      <c r="F253" s="12" t="s">
        <v>30</v>
      </c>
      <c r="G253" s="12" t="s">
        <v>69</v>
      </c>
      <c r="H253" s="12">
        <v>3.0</v>
      </c>
      <c r="I253" s="12">
        <v>3.0</v>
      </c>
      <c r="J253" s="12">
        <v>5.0</v>
      </c>
      <c r="K253" s="12">
        <v>3.0</v>
      </c>
      <c r="L253" s="12">
        <v>2.0</v>
      </c>
      <c r="M253" s="12">
        <v>3.0</v>
      </c>
      <c r="N253" s="12">
        <v>3.0</v>
      </c>
      <c r="O253" s="12">
        <v>3.0</v>
      </c>
      <c r="P253" s="12">
        <v>5.0</v>
      </c>
      <c r="Q253" s="12" t="s">
        <v>258</v>
      </c>
      <c r="R253" s="12" t="s">
        <v>38</v>
      </c>
      <c r="S253" s="14"/>
      <c r="T253" s="14"/>
      <c r="U253" s="14"/>
      <c r="V253" s="14"/>
    </row>
    <row r="254" ht="22.5" customHeight="1">
      <c r="A254" s="11">
        <v>46146.386547581016</v>
      </c>
      <c r="B254" s="12" t="s">
        <v>22</v>
      </c>
      <c r="C254" s="13">
        <v>46146.0</v>
      </c>
      <c r="D254" s="12" t="s">
        <v>29</v>
      </c>
      <c r="E254" s="12" t="s">
        <v>85</v>
      </c>
      <c r="F254" s="12" t="s">
        <v>68</v>
      </c>
      <c r="G254" s="12" t="s">
        <v>43</v>
      </c>
      <c r="H254" s="12">
        <v>5.0</v>
      </c>
      <c r="I254" s="12">
        <v>5.0</v>
      </c>
      <c r="J254" s="12">
        <v>5.0</v>
      </c>
      <c r="K254" s="12">
        <v>5.0</v>
      </c>
      <c r="L254" s="12">
        <v>5.0</v>
      </c>
      <c r="M254" s="12">
        <v>5.0</v>
      </c>
      <c r="N254" s="12">
        <v>5.0</v>
      </c>
      <c r="O254" s="12">
        <v>5.0</v>
      </c>
      <c r="P254" s="12">
        <v>10.0</v>
      </c>
    </row>
    <row r="255" ht="22.5" customHeight="1">
      <c r="A255" s="11">
        <v>46146.39037511574</v>
      </c>
      <c r="B255" s="12" t="s">
        <v>22</v>
      </c>
      <c r="C255" s="13">
        <v>46146.0</v>
      </c>
      <c r="D255" s="12" t="s">
        <v>29</v>
      </c>
      <c r="E255" s="12" t="s">
        <v>259</v>
      </c>
      <c r="F255" s="12" t="s">
        <v>25</v>
      </c>
      <c r="G255" s="12" t="s">
        <v>26</v>
      </c>
      <c r="H255" s="12">
        <v>5.0</v>
      </c>
      <c r="I255" s="12">
        <v>5.0</v>
      </c>
      <c r="J255" s="12">
        <v>5.0</v>
      </c>
      <c r="K255" s="12">
        <v>5.0</v>
      </c>
      <c r="L255" s="12">
        <v>5.0</v>
      </c>
      <c r="M255" s="12">
        <v>5.0</v>
      </c>
      <c r="N255" s="12">
        <v>5.0</v>
      </c>
      <c r="O255" s="12">
        <v>5.0</v>
      </c>
      <c r="P255" s="12">
        <v>10.0</v>
      </c>
      <c r="Q255" s="12" t="s">
        <v>208</v>
      </c>
      <c r="R255" s="12" t="s">
        <v>260</v>
      </c>
      <c r="S255" s="14"/>
      <c r="T255" s="14"/>
      <c r="U255" s="14"/>
      <c r="V255" s="14"/>
    </row>
    <row r="256" ht="22.5" customHeight="1">
      <c r="A256" s="11">
        <v>46146.436940590276</v>
      </c>
      <c r="B256" s="12" t="s">
        <v>22</v>
      </c>
      <c r="C256" s="13">
        <v>46146.0</v>
      </c>
      <c r="D256" s="12" t="s">
        <v>29</v>
      </c>
      <c r="F256" s="12" t="s">
        <v>25</v>
      </c>
      <c r="G256" s="12" t="s">
        <v>43</v>
      </c>
      <c r="H256" s="12">
        <v>5.0</v>
      </c>
      <c r="I256" s="12">
        <v>5.0</v>
      </c>
      <c r="J256" s="12">
        <v>5.0</v>
      </c>
      <c r="K256" s="12">
        <v>5.0</v>
      </c>
      <c r="L256" s="12">
        <v>5.0</v>
      </c>
      <c r="M256" s="12">
        <v>5.0</v>
      </c>
      <c r="N256" s="12">
        <v>5.0</v>
      </c>
      <c r="O256" s="12">
        <v>5.0</v>
      </c>
      <c r="P256" s="12">
        <v>9.0</v>
      </c>
      <c r="Q256" s="12" t="s">
        <v>153</v>
      </c>
      <c r="R256" s="12" t="s">
        <v>261</v>
      </c>
      <c r="S256" s="14"/>
      <c r="T256" s="14"/>
      <c r="U256" s="14"/>
      <c r="V256" s="14"/>
    </row>
    <row r="257" ht="22.5" customHeight="1">
      <c r="A257" s="11">
        <v>46146.4400785301</v>
      </c>
      <c r="B257" s="12" t="s">
        <v>22</v>
      </c>
      <c r="C257" s="13">
        <v>46146.0</v>
      </c>
      <c r="D257" s="12" t="s">
        <v>29</v>
      </c>
      <c r="F257" s="12" t="s">
        <v>25</v>
      </c>
      <c r="G257" s="12" t="s">
        <v>262</v>
      </c>
      <c r="H257" s="12">
        <v>4.0</v>
      </c>
      <c r="I257" s="12">
        <v>4.0</v>
      </c>
      <c r="J257" s="12">
        <v>3.0</v>
      </c>
      <c r="K257" s="12">
        <v>4.0</v>
      </c>
      <c r="L257" s="12">
        <v>3.0</v>
      </c>
      <c r="M257" s="12">
        <v>4.0</v>
      </c>
      <c r="N257" s="12">
        <v>4.0</v>
      </c>
      <c r="O257" s="12">
        <v>4.0</v>
      </c>
      <c r="P257" s="12">
        <v>9.0</v>
      </c>
    </row>
    <row r="258" ht="22.5" customHeight="1">
      <c r="A258" s="11">
        <v>46146.54607370371</v>
      </c>
      <c r="B258" s="12" t="s">
        <v>22</v>
      </c>
      <c r="C258" s="13">
        <v>46146.0</v>
      </c>
      <c r="D258" s="12" t="s">
        <v>29</v>
      </c>
      <c r="F258" s="12" t="s">
        <v>25</v>
      </c>
      <c r="G258" s="12" t="s">
        <v>26</v>
      </c>
      <c r="H258" s="12">
        <v>5.0</v>
      </c>
      <c r="I258" s="12">
        <v>4.0</v>
      </c>
      <c r="J258" s="12">
        <v>5.0</v>
      </c>
      <c r="K258" s="12">
        <v>4.0</v>
      </c>
      <c r="L258" s="12">
        <v>5.0</v>
      </c>
      <c r="M258" s="12">
        <v>5.0</v>
      </c>
      <c r="N258" s="12">
        <v>4.0</v>
      </c>
      <c r="O258" s="12">
        <v>4.0</v>
      </c>
      <c r="P258" s="12">
        <v>8.0</v>
      </c>
    </row>
    <row r="259" ht="22.5" customHeight="1">
      <c r="A259" s="11">
        <v>46146.546274629625</v>
      </c>
      <c r="B259" s="12" t="s">
        <v>22</v>
      </c>
      <c r="C259" s="13">
        <v>39239.0</v>
      </c>
      <c r="D259" s="12" t="s">
        <v>29</v>
      </c>
      <c r="E259" s="12" t="s">
        <v>24</v>
      </c>
      <c r="F259" s="12" t="s">
        <v>30</v>
      </c>
      <c r="G259" s="12" t="s">
        <v>69</v>
      </c>
      <c r="H259" s="12">
        <v>3.0</v>
      </c>
      <c r="I259" s="12">
        <v>3.0</v>
      </c>
      <c r="J259" s="12">
        <v>3.0</v>
      </c>
      <c r="K259" s="12">
        <v>3.0</v>
      </c>
      <c r="L259" s="12">
        <v>5.0</v>
      </c>
      <c r="M259" s="12">
        <v>5.0</v>
      </c>
      <c r="N259" s="12">
        <v>4.0</v>
      </c>
      <c r="O259" s="12">
        <v>4.0</v>
      </c>
      <c r="P259" s="12">
        <v>10.0</v>
      </c>
    </row>
    <row r="260" ht="22.5" customHeight="1">
      <c r="A260" s="11">
        <v>46146.54980621528</v>
      </c>
      <c r="B260" s="12" t="s">
        <v>22</v>
      </c>
      <c r="C260" s="13">
        <v>46146.0</v>
      </c>
      <c r="D260" s="12" t="s">
        <v>29</v>
      </c>
      <c r="F260" s="12" t="s">
        <v>30</v>
      </c>
      <c r="G260" s="12" t="s">
        <v>185</v>
      </c>
      <c r="H260" s="12">
        <v>4.0</v>
      </c>
      <c r="I260" s="12">
        <v>4.0</v>
      </c>
      <c r="J260" s="12">
        <v>4.0</v>
      </c>
      <c r="K260" s="12">
        <v>4.0</v>
      </c>
      <c r="L260" s="12">
        <v>4.0</v>
      </c>
      <c r="M260" s="12">
        <v>4.0</v>
      </c>
      <c r="N260" s="12">
        <v>4.0</v>
      </c>
      <c r="O260" s="12">
        <v>4.0</v>
      </c>
      <c r="P260" s="12">
        <v>9.0</v>
      </c>
      <c r="Q260" s="12" t="s">
        <v>74</v>
      </c>
      <c r="R260" s="12" t="s">
        <v>74</v>
      </c>
      <c r="S260" s="14"/>
      <c r="T260" s="14"/>
      <c r="U260" s="14"/>
      <c r="V260" s="14"/>
    </row>
    <row r="261" ht="22.5" customHeight="1">
      <c r="A261" s="11">
        <v>46146.6397566088</v>
      </c>
      <c r="B261" s="12" t="s">
        <v>22</v>
      </c>
      <c r="C261" s="13">
        <v>46146.0</v>
      </c>
      <c r="D261" s="12" t="s">
        <v>29</v>
      </c>
      <c r="F261" s="12" t="s">
        <v>25</v>
      </c>
      <c r="G261" s="12" t="s">
        <v>69</v>
      </c>
      <c r="H261" s="12">
        <v>4.0</v>
      </c>
      <c r="I261" s="12">
        <v>4.0</v>
      </c>
      <c r="J261" s="12">
        <v>5.0</v>
      </c>
      <c r="K261" s="12">
        <v>4.0</v>
      </c>
      <c r="L261" s="12">
        <v>4.0</v>
      </c>
      <c r="M261" s="12">
        <v>4.0</v>
      </c>
      <c r="N261" s="12">
        <v>4.0</v>
      </c>
      <c r="O261" s="12">
        <v>4.0</v>
      </c>
      <c r="P261" s="12">
        <v>4.0</v>
      </c>
    </row>
    <row r="262" ht="22.5" customHeight="1">
      <c r="A262" s="11">
        <v>46146.77015394676</v>
      </c>
      <c r="B262" s="12" t="s">
        <v>22</v>
      </c>
      <c r="C262" s="13">
        <v>46143.0</v>
      </c>
      <c r="D262" s="12" t="s">
        <v>29</v>
      </c>
      <c r="E262" s="12" t="s">
        <v>263</v>
      </c>
      <c r="F262" s="12" t="s">
        <v>30</v>
      </c>
      <c r="G262" s="12" t="s">
        <v>43</v>
      </c>
      <c r="H262" s="12">
        <v>4.0</v>
      </c>
      <c r="I262" s="12">
        <v>4.0</v>
      </c>
      <c r="J262" s="12">
        <v>4.0</v>
      </c>
      <c r="K262" s="12">
        <v>4.0</v>
      </c>
      <c r="L262" s="12">
        <v>4.0</v>
      </c>
      <c r="M262" s="12">
        <v>3.0</v>
      </c>
      <c r="N262" s="12">
        <v>4.0</v>
      </c>
      <c r="O262" s="12">
        <v>4.0</v>
      </c>
      <c r="P262" s="12">
        <v>9.0</v>
      </c>
      <c r="Q262" s="12" t="s">
        <v>264</v>
      </c>
      <c r="R262" s="12" t="s">
        <v>265</v>
      </c>
      <c r="S262" s="14"/>
      <c r="T262" s="14"/>
      <c r="U262" s="14"/>
      <c r="V262" s="14"/>
    </row>
    <row r="263" ht="22.5" customHeight="1">
      <c r="A263" s="11">
        <v>46146.82833871528</v>
      </c>
      <c r="B263" s="12" t="s">
        <v>22</v>
      </c>
      <c r="C263" s="13">
        <v>46146.0</v>
      </c>
      <c r="D263" s="12" t="s">
        <v>29</v>
      </c>
      <c r="E263" s="12" t="s">
        <v>266</v>
      </c>
      <c r="F263" s="12" t="s">
        <v>30</v>
      </c>
      <c r="G263" s="12" t="s">
        <v>43</v>
      </c>
      <c r="H263" s="12">
        <v>4.0</v>
      </c>
      <c r="I263" s="12">
        <v>4.0</v>
      </c>
      <c r="J263" s="12">
        <v>4.0</v>
      </c>
      <c r="K263" s="12">
        <v>4.0</v>
      </c>
      <c r="L263" s="12">
        <v>4.0</v>
      </c>
      <c r="M263" s="12">
        <v>4.0</v>
      </c>
      <c r="N263" s="12">
        <v>4.0</v>
      </c>
      <c r="O263" s="12">
        <v>4.0</v>
      </c>
      <c r="P263" s="12">
        <v>9.0</v>
      </c>
      <c r="Q263" s="12" t="s">
        <v>71</v>
      </c>
      <c r="R263" s="12" t="s">
        <v>71</v>
      </c>
      <c r="S263" s="14"/>
      <c r="T263" s="14"/>
      <c r="U263" s="14"/>
      <c r="V263" s="14"/>
    </row>
    <row r="264" ht="22.5" customHeight="1">
      <c r="A264" s="11">
        <v>46146.85182715278</v>
      </c>
      <c r="B264" s="12" t="s">
        <v>22</v>
      </c>
      <c r="C264" s="13">
        <v>46143.0</v>
      </c>
      <c r="D264" s="12" t="s">
        <v>29</v>
      </c>
      <c r="F264" s="12" t="s">
        <v>30</v>
      </c>
      <c r="G264" s="12" t="s">
        <v>43</v>
      </c>
      <c r="H264" s="12">
        <v>3.0</v>
      </c>
      <c r="I264" s="12">
        <v>2.0</v>
      </c>
      <c r="J264" s="12">
        <v>2.0</v>
      </c>
      <c r="K264" s="12">
        <v>3.0</v>
      </c>
      <c r="L264" s="12">
        <v>4.0</v>
      </c>
      <c r="M264" s="12">
        <v>4.0</v>
      </c>
      <c r="N264" s="12">
        <v>4.0</v>
      </c>
      <c r="O264" s="12">
        <v>2.0</v>
      </c>
      <c r="P264" s="12">
        <v>6.0</v>
      </c>
      <c r="Q264" s="12" t="s">
        <v>38</v>
      </c>
      <c r="R264" s="12" t="s">
        <v>71</v>
      </c>
      <c r="S264" s="14"/>
      <c r="T264" s="14"/>
      <c r="U264" s="14"/>
      <c r="V264" s="14"/>
    </row>
    <row r="265" ht="22.5" customHeight="1">
      <c r="A265" s="11">
        <v>46146.85488297454</v>
      </c>
      <c r="B265" s="12" t="s">
        <v>22</v>
      </c>
      <c r="C265" s="13">
        <v>46146.0</v>
      </c>
      <c r="D265" s="12" t="s">
        <v>29</v>
      </c>
      <c r="F265" s="12" t="s">
        <v>30</v>
      </c>
      <c r="G265" s="12" t="s">
        <v>43</v>
      </c>
      <c r="H265" s="12">
        <v>1.0</v>
      </c>
      <c r="I265" s="12">
        <v>1.0</v>
      </c>
      <c r="J265" s="12">
        <v>1.0</v>
      </c>
      <c r="K265" s="12">
        <v>3.0</v>
      </c>
      <c r="L265" s="12">
        <v>3.0</v>
      </c>
      <c r="M265" s="12">
        <v>5.0</v>
      </c>
      <c r="N265" s="12">
        <v>5.0</v>
      </c>
      <c r="O265" s="12">
        <v>4.0</v>
      </c>
      <c r="P265" s="12">
        <v>7.0</v>
      </c>
    </row>
    <row r="266" ht="22.5" customHeight="1">
      <c r="A266" s="11">
        <v>46146.86282958333</v>
      </c>
      <c r="B266" s="12" t="s">
        <v>22</v>
      </c>
      <c r="C266" s="13">
        <v>46144.0</v>
      </c>
      <c r="D266" s="12" t="s">
        <v>29</v>
      </c>
      <c r="F266" s="12" t="s">
        <v>30</v>
      </c>
      <c r="G266" s="12" t="s">
        <v>43</v>
      </c>
      <c r="H266" s="12">
        <v>3.0</v>
      </c>
      <c r="I266" s="12">
        <v>3.0</v>
      </c>
      <c r="J266" s="12">
        <v>3.0</v>
      </c>
      <c r="K266" s="12">
        <v>3.0</v>
      </c>
      <c r="L266" s="12">
        <v>3.0</v>
      </c>
      <c r="M266" s="12">
        <v>3.0</v>
      </c>
      <c r="N266" s="12">
        <v>3.0</v>
      </c>
      <c r="O266" s="12">
        <v>3.0</v>
      </c>
      <c r="P266" s="12">
        <v>5.0</v>
      </c>
    </row>
    <row r="267" ht="22.5" customHeight="1">
      <c r="A267" s="11">
        <v>46146.865576909724</v>
      </c>
      <c r="B267" s="12" t="s">
        <v>22</v>
      </c>
      <c r="C267" s="13">
        <v>46146.0</v>
      </c>
      <c r="D267" s="12" t="s">
        <v>29</v>
      </c>
      <c r="E267" s="12" t="s">
        <v>267</v>
      </c>
      <c r="F267" s="12" t="s">
        <v>30</v>
      </c>
      <c r="G267" s="12" t="s">
        <v>43</v>
      </c>
      <c r="H267" s="12">
        <v>3.0</v>
      </c>
      <c r="I267" s="12">
        <v>2.0</v>
      </c>
      <c r="J267" s="12">
        <v>3.0</v>
      </c>
      <c r="K267" s="12">
        <v>3.0</v>
      </c>
      <c r="L267" s="12">
        <v>3.0</v>
      </c>
      <c r="M267" s="12">
        <v>5.0</v>
      </c>
      <c r="N267" s="12">
        <v>5.0</v>
      </c>
      <c r="O267" s="12">
        <v>3.0</v>
      </c>
      <c r="P267" s="12">
        <v>7.0</v>
      </c>
      <c r="Q267" s="12" t="s">
        <v>38</v>
      </c>
      <c r="R267" s="12" t="s">
        <v>38</v>
      </c>
      <c r="S267" s="14"/>
      <c r="T267" s="14"/>
      <c r="U267" s="14"/>
      <c r="V267" s="14"/>
    </row>
    <row r="268" ht="22.5" customHeight="1">
      <c r="A268" s="11">
        <v>46146.88174868056</v>
      </c>
      <c r="B268" s="12" t="s">
        <v>22</v>
      </c>
      <c r="C268" s="13">
        <v>46146.0</v>
      </c>
      <c r="D268" s="12" t="s">
        <v>29</v>
      </c>
      <c r="F268" s="12" t="s">
        <v>30</v>
      </c>
      <c r="G268" s="12" t="s">
        <v>43</v>
      </c>
      <c r="P268" s="12">
        <v>8.0</v>
      </c>
      <c r="Q268" s="12" t="s">
        <v>268</v>
      </c>
      <c r="R268" s="12" t="s">
        <v>156</v>
      </c>
      <c r="S268" s="14"/>
      <c r="T268" s="14"/>
      <c r="U268" s="14"/>
      <c r="V268" s="14"/>
    </row>
    <row r="269" ht="22.5" customHeight="1">
      <c r="A269" s="11">
        <v>46146.96911528935</v>
      </c>
      <c r="B269" s="12" t="s">
        <v>22</v>
      </c>
      <c r="C269" s="13">
        <v>46146.0</v>
      </c>
      <c r="D269" s="12" t="s">
        <v>29</v>
      </c>
      <c r="F269" s="12" t="s">
        <v>30</v>
      </c>
      <c r="G269" s="12" t="s">
        <v>69</v>
      </c>
      <c r="H269" s="12">
        <v>5.0</v>
      </c>
      <c r="I269" s="12">
        <v>4.0</v>
      </c>
      <c r="J269" s="12">
        <v>4.0</v>
      </c>
      <c r="K269" s="12">
        <v>4.0</v>
      </c>
      <c r="L269" s="12">
        <v>5.0</v>
      </c>
      <c r="M269" s="12">
        <v>4.0</v>
      </c>
      <c r="N269" s="12">
        <v>5.0</v>
      </c>
      <c r="O269" s="12">
        <v>4.0</v>
      </c>
      <c r="P269" s="12">
        <v>7.0</v>
      </c>
      <c r="Q269" s="12" t="s">
        <v>269</v>
      </c>
      <c r="R269" s="12" t="s">
        <v>270</v>
      </c>
      <c r="S269" s="14"/>
      <c r="T269" s="14"/>
      <c r="U269" s="14"/>
      <c r="V269" s="14"/>
    </row>
    <row r="270" ht="22.5" customHeight="1">
      <c r="A270" s="11">
        <v>46147.44995144676</v>
      </c>
      <c r="B270" s="12" t="s">
        <v>22</v>
      </c>
      <c r="C270" s="13" t="s">
        <v>271</v>
      </c>
      <c r="D270" s="12" t="s">
        <v>29</v>
      </c>
      <c r="F270" s="12" t="s">
        <v>30</v>
      </c>
      <c r="G270" s="12" t="s">
        <v>43</v>
      </c>
      <c r="H270" s="12">
        <v>4.0</v>
      </c>
      <c r="I270" s="12">
        <v>4.0</v>
      </c>
      <c r="J270" s="12">
        <v>4.0</v>
      </c>
      <c r="K270" s="12">
        <v>4.0</v>
      </c>
      <c r="L270" s="12">
        <v>4.0</v>
      </c>
      <c r="M270" s="12">
        <v>5.0</v>
      </c>
      <c r="N270" s="12">
        <v>5.0</v>
      </c>
      <c r="O270" s="12">
        <v>5.0</v>
      </c>
      <c r="P270" s="12">
        <v>9.0</v>
      </c>
    </row>
    <row r="271" ht="22.5" customHeight="1">
      <c r="A271" s="11">
        <v>46147.457611666665</v>
      </c>
      <c r="B271" s="12" t="s">
        <v>22</v>
      </c>
      <c r="C271" s="13">
        <v>46147.0</v>
      </c>
      <c r="D271" s="12" t="s">
        <v>29</v>
      </c>
      <c r="F271" s="12" t="s">
        <v>25</v>
      </c>
      <c r="G271" s="12" t="s">
        <v>26</v>
      </c>
      <c r="H271" s="12">
        <v>4.0</v>
      </c>
      <c r="I271" s="12">
        <v>4.0</v>
      </c>
      <c r="J271" s="12">
        <v>4.0</v>
      </c>
      <c r="K271" s="12">
        <v>4.0</v>
      </c>
      <c r="L271" s="12">
        <v>4.0</v>
      </c>
      <c r="M271" s="12">
        <v>4.0</v>
      </c>
      <c r="N271" s="12">
        <v>4.0</v>
      </c>
      <c r="O271" s="12">
        <v>4.0</v>
      </c>
      <c r="P271" s="12">
        <v>4.0</v>
      </c>
    </row>
    <row r="272" ht="22.5" customHeight="1">
      <c r="A272" s="11">
        <v>46147.71746672454</v>
      </c>
      <c r="B272" s="12" t="s">
        <v>22</v>
      </c>
      <c r="C272" s="13">
        <v>46147.0</v>
      </c>
      <c r="D272" s="12" t="s">
        <v>29</v>
      </c>
      <c r="E272" s="12" t="s">
        <v>272</v>
      </c>
      <c r="F272" s="12" t="s">
        <v>30</v>
      </c>
      <c r="G272" s="12" t="s">
        <v>26</v>
      </c>
      <c r="H272" s="12">
        <v>5.0</v>
      </c>
      <c r="I272" s="12">
        <v>5.0</v>
      </c>
      <c r="J272" s="12">
        <v>5.0</v>
      </c>
      <c r="K272" s="12">
        <v>5.0</v>
      </c>
      <c r="L272" s="12">
        <v>5.0</v>
      </c>
      <c r="M272" s="12">
        <v>5.0</v>
      </c>
      <c r="N272" s="12">
        <v>5.0</v>
      </c>
      <c r="O272" s="12">
        <v>5.0</v>
      </c>
      <c r="P272" s="12">
        <v>10.0</v>
      </c>
      <c r="Q272" s="12" t="s">
        <v>38</v>
      </c>
      <c r="R272" s="12" t="s">
        <v>38</v>
      </c>
      <c r="S272" s="14"/>
      <c r="T272" s="14"/>
      <c r="U272" s="14"/>
      <c r="V272" s="14"/>
    </row>
    <row r="273" ht="22.5" customHeight="1">
      <c r="A273" s="11">
        <v>46147.71788128473</v>
      </c>
      <c r="B273" s="12" t="s">
        <v>22</v>
      </c>
      <c r="C273" s="13">
        <v>46147.0</v>
      </c>
      <c r="D273" s="12" t="s">
        <v>29</v>
      </c>
      <c r="E273" s="12" t="s">
        <v>273</v>
      </c>
      <c r="F273" s="12" t="s">
        <v>30</v>
      </c>
      <c r="G273" s="12" t="s">
        <v>43</v>
      </c>
      <c r="H273" s="12">
        <v>1.0</v>
      </c>
      <c r="I273" s="12">
        <v>1.0</v>
      </c>
      <c r="J273" s="12">
        <v>1.0</v>
      </c>
      <c r="K273" s="12">
        <v>1.0</v>
      </c>
      <c r="L273" s="12">
        <v>1.0</v>
      </c>
      <c r="M273" s="12">
        <v>1.0</v>
      </c>
      <c r="N273" s="12">
        <v>1.0</v>
      </c>
      <c r="O273" s="12">
        <v>1.0</v>
      </c>
      <c r="P273" s="12">
        <v>1.0</v>
      </c>
      <c r="Q273" s="12" t="s">
        <v>147</v>
      </c>
      <c r="R273" s="12" t="s">
        <v>38</v>
      </c>
      <c r="S273" s="14"/>
      <c r="T273" s="14"/>
      <c r="U273" s="14"/>
      <c r="V273" s="14"/>
    </row>
    <row r="274" ht="22.5" customHeight="1">
      <c r="A274" s="11">
        <v>46147.71790927083</v>
      </c>
      <c r="B274" s="12" t="s">
        <v>22</v>
      </c>
      <c r="C274" s="13">
        <v>46147.0</v>
      </c>
      <c r="D274" s="12" t="s">
        <v>29</v>
      </c>
      <c r="F274" s="12" t="s">
        <v>25</v>
      </c>
      <c r="G274" s="12" t="s">
        <v>43</v>
      </c>
      <c r="H274" s="12">
        <v>5.0</v>
      </c>
      <c r="I274" s="12">
        <v>5.0</v>
      </c>
      <c r="J274" s="12">
        <v>4.0</v>
      </c>
      <c r="K274" s="12">
        <v>4.0</v>
      </c>
      <c r="L274" s="12">
        <v>4.0</v>
      </c>
      <c r="M274" s="12">
        <v>4.0</v>
      </c>
      <c r="N274" s="12">
        <v>4.0</v>
      </c>
      <c r="O274" s="12">
        <v>4.0</v>
      </c>
      <c r="P274" s="12">
        <v>9.0</v>
      </c>
      <c r="Q274" s="12" t="s">
        <v>153</v>
      </c>
      <c r="R274" s="12" t="s">
        <v>66</v>
      </c>
      <c r="S274" s="14"/>
      <c r="T274" s="14"/>
      <c r="U274" s="14"/>
      <c r="V274" s="14"/>
    </row>
    <row r="275" ht="22.5" customHeight="1">
      <c r="A275" s="11">
        <v>46147.71890136574</v>
      </c>
      <c r="B275" s="12" t="s">
        <v>22</v>
      </c>
      <c r="C275" s="13">
        <v>46147.0</v>
      </c>
      <c r="D275" s="12" t="s">
        <v>29</v>
      </c>
      <c r="F275" s="12" t="s">
        <v>25</v>
      </c>
      <c r="G275" s="12" t="s">
        <v>26</v>
      </c>
      <c r="H275" s="12">
        <v>4.0</v>
      </c>
      <c r="I275" s="12">
        <v>4.0</v>
      </c>
      <c r="J275" s="12">
        <v>4.0</v>
      </c>
      <c r="K275" s="12">
        <v>4.0</v>
      </c>
      <c r="L275" s="12">
        <v>4.0</v>
      </c>
      <c r="M275" s="12">
        <v>4.0</v>
      </c>
      <c r="N275" s="12">
        <v>4.0</v>
      </c>
      <c r="O275" s="12">
        <v>4.0</v>
      </c>
      <c r="P275" s="12">
        <v>9.0</v>
      </c>
    </row>
    <row r="276" ht="22.5" customHeight="1">
      <c r="A276" s="11">
        <v>46147.71914212963</v>
      </c>
      <c r="B276" s="12" t="s">
        <v>22</v>
      </c>
      <c r="C276" s="13">
        <v>46147.0</v>
      </c>
      <c r="D276" s="12" t="s">
        <v>29</v>
      </c>
      <c r="F276" s="12" t="s">
        <v>25</v>
      </c>
      <c r="G276" s="12" t="s">
        <v>43</v>
      </c>
      <c r="I276" s="12">
        <v>4.0</v>
      </c>
      <c r="J276" s="12">
        <v>4.0</v>
      </c>
      <c r="K276" s="12">
        <v>4.0</v>
      </c>
      <c r="L276" s="12">
        <v>3.0</v>
      </c>
      <c r="M276" s="12">
        <v>5.0</v>
      </c>
      <c r="O276" s="12">
        <v>4.0</v>
      </c>
      <c r="P276" s="12">
        <v>9.0</v>
      </c>
    </row>
    <row r="277" ht="22.5" customHeight="1">
      <c r="A277" s="11">
        <v>46147.71921862269</v>
      </c>
      <c r="B277" s="12" t="s">
        <v>22</v>
      </c>
      <c r="C277" s="13">
        <v>39198.0</v>
      </c>
      <c r="D277" s="12" t="s">
        <v>29</v>
      </c>
      <c r="E277" s="12" t="s">
        <v>41</v>
      </c>
      <c r="F277" s="12" t="s">
        <v>30</v>
      </c>
      <c r="G277" s="12" t="s">
        <v>26</v>
      </c>
      <c r="H277" s="12">
        <v>5.0</v>
      </c>
      <c r="I277" s="12">
        <v>5.0</v>
      </c>
      <c r="J277" s="12">
        <v>4.0</v>
      </c>
      <c r="K277" s="12">
        <v>5.0</v>
      </c>
      <c r="L277" s="12">
        <v>5.0</v>
      </c>
      <c r="M277" s="12">
        <v>5.0</v>
      </c>
      <c r="N277" s="12">
        <v>5.0</v>
      </c>
      <c r="O277" s="12">
        <v>5.0</v>
      </c>
      <c r="P277" s="12">
        <v>8.0</v>
      </c>
    </row>
    <row r="278" ht="22.5" customHeight="1">
      <c r="A278" s="11">
        <v>46147.719413541665</v>
      </c>
      <c r="B278" s="12" t="s">
        <v>22</v>
      </c>
      <c r="C278" s="13">
        <v>46142.0</v>
      </c>
      <c r="D278" s="12" t="s">
        <v>29</v>
      </c>
      <c r="F278" s="12" t="s">
        <v>30</v>
      </c>
      <c r="G278" s="12" t="s">
        <v>43</v>
      </c>
      <c r="H278" s="12">
        <v>5.0</v>
      </c>
      <c r="I278" s="12">
        <v>4.0</v>
      </c>
      <c r="J278" s="12">
        <v>5.0</v>
      </c>
      <c r="K278" s="12">
        <v>5.0</v>
      </c>
      <c r="L278" s="12">
        <v>3.0</v>
      </c>
      <c r="M278" s="12">
        <v>5.0</v>
      </c>
      <c r="N278" s="12">
        <v>5.0</v>
      </c>
      <c r="O278" s="12">
        <v>5.0</v>
      </c>
      <c r="P278" s="12">
        <v>8.0</v>
      </c>
      <c r="Q278" s="12" t="s">
        <v>38</v>
      </c>
      <c r="R278" s="12" t="s">
        <v>147</v>
      </c>
      <c r="S278" s="14"/>
      <c r="T278" s="14"/>
      <c r="U278" s="14"/>
      <c r="V278" s="14"/>
    </row>
    <row r="279" ht="22.5" customHeight="1">
      <c r="A279" s="11">
        <v>46147.71949454861</v>
      </c>
      <c r="B279" s="12" t="s">
        <v>22</v>
      </c>
      <c r="C279" s="13">
        <v>46144.0</v>
      </c>
      <c r="D279" s="12" t="s">
        <v>29</v>
      </c>
      <c r="F279" s="12" t="s">
        <v>30</v>
      </c>
      <c r="G279" s="12" t="s">
        <v>185</v>
      </c>
      <c r="H279" s="12">
        <v>5.0</v>
      </c>
      <c r="I279" s="12">
        <v>5.0</v>
      </c>
      <c r="J279" s="12">
        <v>5.0</v>
      </c>
      <c r="K279" s="12">
        <v>5.0</v>
      </c>
      <c r="L279" s="12">
        <v>5.0</v>
      </c>
      <c r="M279" s="12">
        <v>5.0</v>
      </c>
      <c r="N279" s="12">
        <v>5.0</v>
      </c>
      <c r="O279" s="12">
        <v>4.0</v>
      </c>
      <c r="P279" s="12">
        <v>9.0</v>
      </c>
      <c r="Q279" s="12" t="s">
        <v>41</v>
      </c>
      <c r="R279" s="12" t="s">
        <v>41</v>
      </c>
      <c r="S279" s="14"/>
      <c r="T279" s="14"/>
      <c r="U279" s="14"/>
      <c r="V279" s="14"/>
    </row>
    <row r="280" ht="22.5" customHeight="1">
      <c r="A280" s="11">
        <v>46147.71970479167</v>
      </c>
      <c r="B280" s="12" t="s">
        <v>22</v>
      </c>
      <c r="C280" s="13">
        <v>46147.0</v>
      </c>
      <c r="D280" s="12" t="s">
        <v>29</v>
      </c>
      <c r="F280" s="12" t="s">
        <v>30</v>
      </c>
      <c r="G280" s="12" t="s">
        <v>43</v>
      </c>
      <c r="H280" s="12">
        <v>4.0</v>
      </c>
      <c r="I280" s="12">
        <v>4.0</v>
      </c>
      <c r="J280" s="12">
        <v>4.0</v>
      </c>
      <c r="K280" s="12">
        <v>4.0</v>
      </c>
      <c r="L280" s="12">
        <v>5.0</v>
      </c>
      <c r="M280" s="12">
        <v>5.0</v>
      </c>
      <c r="N280" s="12">
        <v>4.0</v>
      </c>
      <c r="O280" s="12">
        <v>5.0</v>
      </c>
      <c r="P280" s="12">
        <v>8.0</v>
      </c>
    </row>
    <row r="281" ht="22.5" customHeight="1">
      <c r="A281" s="11">
        <v>46147.7197721875</v>
      </c>
      <c r="B281" s="12" t="s">
        <v>22</v>
      </c>
      <c r="C281" s="13">
        <v>46147.0</v>
      </c>
      <c r="D281" s="12" t="s">
        <v>29</v>
      </c>
      <c r="F281" s="12" t="s">
        <v>30</v>
      </c>
      <c r="G281" s="12" t="s">
        <v>62</v>
      </c>
      <c r="H281" s="12">
        <v>5.0</v>
      </c>
      <c r="I281" s="12">
        <v>5.0</v>
      </c>
      <c r="J281" s="12">
        <v>5.0</v>
      </c>
      <c r="K281" s="12">
        <v>5.0</v>
      </c>
      <c r="L281" s="12">
        <v>5.0</v>
      </c>
      <c r="M281" s="12">
        <v>5.0</v>
      </c>
      <c r="N281" s="12">
        <v>5.0</v>
      </c>
      <c r="O281" s="12">
        <v>5.0</v>
      </c>
      <c r="P281" s="12">
        <v>5.0</v>
      </c>
      <c r="Q281" s="12" t="s">
        <v>206</v>
      </c>
      <c r="R281" s="12" t="s">
        <v>206</v>
      </c>
      <c r="S281" s="14"/>
      <c r="T281" s="14"/>
      <c r="U281" s="14"/>
      <c r="V281" s="14"/>
    </row>
    <row r="282" ht="22.5" customHeight="1">
      <c r="A282" s="11">
        <v>46147.71995396991</v>
      </c>
      <c r="B282" s="12" t="s">
        <v>22</v>
      </c>
      <c r="C282" s="13">
        <v>46141.0</v>
      </c>
      <c r="D282" s="12" t="s">
        <v>29</v>
      </c>
      <c r="E282" s="12" t="s">
        <v>197</v>
      </c>
      <c r="F282" s="12" t="s">
        <v>30</v>
      </c>
      <c r="G282" s="12" t="s">
        <v>62</v>
      </c>
      <c r="H282" s="12">
        <v>5.0</v>
      </c>
      <c r="I282" s="12">
        <v>5.0</v>
      </c>
      <c r="J282" s="12">
        <v>5.0</v>
      </c>
      <c r="K282" s="12">
        <v>5.0</v>
      </c>
      <c r="L282" s="12">
        <v>5.0</v>
      </c>
      <c r="M282" s="12">
        <v>5.0</v>
      </c>
      <c r="N282" s="12">
        <v>5.0</v>
      </c>
      <c r="O282" s="12">
        <v>5.0</v>
      </c>
      <c r="P282" s="12">
        <v>10.0</v>
      </c>
      <c r="Q282" s="12" t="s">
        <v>274</v>
      </c>
      <c r="R282" s="12" t="s">
        <v>71</v>
      </c>
      <c r="S282" s="14"/>
      <c r="T282" s="14"/>
      <c r="U282" s="14"/>
      <c r="V282" s="14"/>
    </row>
    <row r="283" ht="22.5" customHeight="1">
      <c r="A283" s="11">
        <v>46147.72053653935</v>
      </c>
      <c r="B283" s="12" t="s">
        <v>22</v>
      </c>
      <c r="C283" s="13">
        <v>46178.0</v>
      </c>
      <c r="D283" s="12" t="s">
        <v>29</v>
      </c>
      <c r="F283" s="12" t="s">
        <v>30</v>
      </c>
      <c r="G283" s="12" t="s">
        <v>43</v>
      </c>
      <c r="H283" s="12">
        <v>4.0</v>
      </c>
      <c r="I283" s="12">
        <v>4.0</v>
      </c>
      <c r="J283" s="12">
        <v>4.0</v>
      </c>
      <c r="K283" s="12">
        <v>3.0</v>
      </c>
      <c r="L283" s="12">
        <v>4.0</v>
      </c>
      <c r="M283" s="12">
        <v>4.0</v>
      </c>
      <c r="N283" s="12">
        <v>3.0</v>
      </c>
      <c r="O283" s="12">
        <v>3.0</v>
      </c>
      <c r="P283" s="12">
        <v>10.0</v>
      </c>
    </row>
    <row r="284" ht="22.5" customHeight="1">
      <c r="A284" s="11">
        <v>46147.7214103588</v>
      </c>
      <c r="B284" s="12" t="s">
        <v>22</v>
      </c>
      <c r="C284" s="13">
        <v>46147.0</v>
      </c>
      <c r="D284" s="12" t="s">
        <v>29</v>
      </c>
      <c r="E284" s="12" t="s">
        <v>184</v>
      </c>
      <c r="F284" s="12" t="s">
        <v>25</v>
      </c>
      <c r="G284" s="12" t="s">
        <v>69</v>
      </c>
      <c r="H284" s="12">
        <v>4.0</v>
      </c>
      <c r="I284" s="12">
        <v>4.0</v>
      </c>
      <c r="J284" s="12">
        <v>4.0</v>
      </c>
      <c r="K284" s="12">
        <v>4.0</v>
      </c>
      <c r="L284" s="12">
        <v>4.0</v>
      </c>
      <c r="M284" s="12">
        <v>4.0</v>
      </c>
      <c r="N284" s="12">
        <v>4.0</v>
      </c>
      <c r="O284" s="12">
        <v>4.0</v>
      </c>
      <c r="P284" s="12">
        <v>8.0</v>
      </c>
      <c r="Q284" s="12" t="s">
        <v>41</v>
      </c>
      <c r="R284" s="12" t="s">
        <v>41</v>
      </c>
      <c r="S284" s="14"/>
      <c r="T284" s="14"/>
      <c r="U284" s="14"/>
      <c r="V284" s="14"/>
    </row>
    <row r="285" ht="22.5" customHeight="1">
      <c r="A285" s="11">
        <v>46147.72203809027</v>
      </c>
      <c r="B285" s="12" t="s">
        <v>22</v>
      </c>
      <c r="C285" s="13">
        <v>46143.0</v>
      </c>
      <c r="D285" s="12" t="s">
        <v>29</v>
      </c>
      <c r="F285" s="12" t="s">
        <v>25</v>
      </c>
      <c r="G285" s="12" t="s">
        <v>62</v>
      </c>
      <c r="H285" s="12">
        <v>4.0</v>
      </c>
      <c r="I285" s="12">
        <v>4.0</v>
      </c>
      <c r="J285" s="12">
        <v>4.0</v>
      </c>
      <c r="K285" s="12">
        <v>4.0</v>
      </c>
      <c r="L285" s="12">
        <v>4.0</v>
      </c>
      <c r="M285" s="12">
        <v>4.0</v>
      </c>
      <c r="N285" s="12">
        <v>4.0</v>
      </c>
      <c r="O285" s="12">
        <v>4.0</v>
      </c>
      <c r="P285" s="12">
        <v>9.0</v>
      </c>
      <c r="Q285" s="12" t="s">
        <v>275</v>
      </c>
      <c r="R285" s="12" t="s">
        <v>275</v>
      </c>
      <c r="S285" s="14"/>
      <c r="T285" s="14"/>
      <c r="U285" s="14"/>
      <c r="V285" s="14"/>
    </row>
    <row r="286" ht="22.5" customHeight="1">
      <c r="A286" s="11">
        <v>46147.72382297454</v>
      </c>
      <c r="B286" s="12" t="s">
        <v>22</v>
      </c>
      <c r="C286" s="13">
        <v>46147.0</v>
      </c>
      <c r="D286" s="12" t="s">
        <v>29</v>
      </c>
      <c r="E286" s="12" t="s">
        <v>176</v>
      </c>
      <c r="F286" s="12" t="s">
        <v>30</v>
      </c>
      <c r="G286" s="12" t="s">
        <v>69</v>
      </c>
      <c r="H286" s="12">
        <v>5.0</v>
      </c>
      <c r="I286" s="12">
        <v>5.0</v>
      </c>
      <c r="J286" s="12">
        <v>4.0</v>
      </c>
      <c r="K286" s="12">
        <v>4.0</v>
      </c>
      <c r="L286" s="12">
        <v>3.0</v>
      </c>
      <c r="M286" s="12">
        <v>4.0</v>
      </c>
      <c r="N286" s="12">
        <v>5.0</v>
      </c>
      <c r="O286" s="12">
        <v>5.0</v>
      </c>
      <c r="P286" s="12">
        <v>8.0</v>
      </c>
    </row>
    <row r="287" ht="22.5" customHeight="1">
      <c r="A287" s="11">
        <v>46147.725469074074</v>
      </c>
      <c r="B287" s="12" t="s">
        <v>22</v>
      </c>
      <c r="C287" s="13">
        <v>46142.0</v>
      </c>
      <c r="D287" s="12" t="s">
        <v>29</v>
      </c>
      <c r="F287" s="12" t="s">
        <v>30</v>
      </c>
      <c r="G287" s="12" t="s">
        <v>72</v>
      </c>
      <c r="H287" s="12">
        <v>4.0</v>
      </c>
      <c r="I287" s="12">
        <v>4.0</v>
      </c>
      <c r="J287" s="12">
        <v>3.0</v>
      </c>
      <c r="K287" s="12">
        <v>3.0</v>
      </c>
      <c r="L287" s="12">
        <v>4.0</v>
      </c>
      <c r="M287" s="12">
        <v>4.0</v>
      </c>
      <c r="N287" s="12">
        <v>4.0</v>
      </c>
      <c r="O287" s="12">
        <v>4.0</v>
      </c>
      <c r="P287" s="12">
        <v>4.0</v>
      </c>
    </row>
    <row r="288" ht="22.5" customHeight="1">
      <c r="A288" s="11">
        <v>46147.72555394676</v>
      </c>
      <c r="B288" s="12" t="s">
        <v>22</v>
      </c>
      <c r="C288" s="13">
        <v>46147.0</v>
      </c>
      <c r="D288" s="12" t="s">
        <v>29</v>
      </c>
      <c r="F288" s="12" t="s">
        <v>25</v>
      </c>
      <c r="G288" s="12" t="s">
        <v>43</v>
      </c>
      <c r="H288" s="12">
        <v>4.0</v>
      </c>
      <c r="I288" s="12">
        <v>4.0</v>
      </c>
      <c r="J288" s="12">
        <v>3.0</v>
      </c>
      <c r="K288" s="12">
        <v>4.0</v>
      </c>
      <c r="L288" s="12">
        <v>5.0</v>
      </c>
      <c r="M288" s="12">
        <v>3.0</v>
      </c>
      <c r="N288" s="12">
        <v>4.0</v>
      </c>
      <c r="O288" s="12">
        <v>4.0</v>
      </c>
      <c r="P288" s="12">
        <v>5.0</v>
      </c>
    </row>
    <row r="289" ht="22.5" customHeight="1">
      <c r="A289" s="11">
        <v>46147.7262640625</v>
      </c>
      <c r="B289" s="12" t="s">
        <v>22</v>
      </c>
      <c r="C289" s="13">
        <v>46147.0</v>
      </c>
      <c r="D289" s="12" t="s">
        <v>29</v>
      </c>
      <c r="F289" s="12" t="s">
        <v>30</v>
      </c>
      <c r="G289" s="12" t="s">
        <v>26</v>
      </c>
      <c r="H289" s="12">
        <v>3.0</v>
      </c>
      <c r="I289" s="12">
        <v>3.0</v>
      </c>
      <c r="J289" s="12">
        <v>3.0</v>
      </c>
      <c r="K289" s="12">
        <v>3.0</v>
      </c>
      <c r="L289" s="12">
        <v>3.0</v>
      </c>
      <c r="M289" s="12">
        <v>3.0</v>
      </c>
      <c r="N289" s="12">
        <v>3.0</v>
      </c>
      <c r="O289" s="12">
        <v>3.0</v>
      </c>
      <c r="P289" s="12">
        <v>4.0</v>
      </c>
    </row>
    <row r="290" ht="22.5" customHeight="1">
      <c r="A290" s="11">
        <v>46147.726988449074</v>
      </c>
      <c r="B290" s="12" t="s">
        <v>22</v>
      </c>
      <c r="C290" s="13">
        <v>46147.0</v>
      </c>
      <c r="D290" s="12" t="s">
        <v>29</v>
      </c>
      <c r="F290" s="12" t="s">
        <v>30</v>
      </c>
      <c r="G290" s="12" t="s">
        <v>43</v>
      </c>
      <c r="H290" s="12">
        <v>3.0</v>
      </c>
      <c r="I290" s="12">
        <v>3.0</v>
      </c>
      <c r="J290" s="12">
        <v>4.0</v>
      </c>
      <c r="K290" s="12">
        <v>4.0</v>
      </c>
      <c r="L290" s="12">
        <v>3.0</v>
      </c>
      <c r="M290" s="12">
        <v>3.0</v>
      </c>
      <c r="N290" s="12">
        <v>4.0</v>
      </c>
      <c r="O290" s="12">
        <v>4.0</v>
      </c>
      <c r="P290" s="12">
        <v>8.0</v>
      </c>
      <c r="Q290" s="12" t="s">
        <v>41</v>
      </c>
      <c r="R290" s="12" t="s">
        <v>41</v>
      </c>
      <c r="S290" s="14"/>
      <c r="T290" s="14"/>
      <c r="U290" s="14"/>
      <c r="V290" s="14"/>
    </row>
    <row r="291" ht="22.5" customHeight="1">
      <c r="A291" s="11">
        <v>46147.72760849537</v>
      </c>
      <c r="B291" s="12" t="s">
        <v>22</v>
      </c>
      <c r="C291" s="13">
        <v>46147.0</v>
      </c>
      <c r="D291" s="12" t="s">
        <v>29</v>
      </c>
      <c r="F291" s="12" t="s">
        <v>25</v>
      </c>
      <c r="G291" s="12" t="s">
        <v>69</v>
      </c>
      <c r="H291" s="12">
        <v>4.0</v>
      </c>
      <c r="I291" s="12">
        <v>4.0</v>
      </c>
      <c r="J291" s="12">
        <v>4.0</v>
      </c>
      <c r="K291" s="12">
        <v>4.0</v>
      </c>
      <c r="L291" s="12">
        <v>4.0</v>
      </c>
      <c r="M291" s="12">
        <v>4.0</v>
      </c>
      <c r="N291" s="12">
        <v>4.0</v>
      </c>
      <c r="O291" s="12">
        <v>4.0</v>
      </c>
      <c r="P291" s="12">
        <v>5.0</v>
      </c>
      <c r="Q291" s="12" t="s">
        <v>276</v>
      </c>
      <c r="R291" s="12" t="s">
        <v>38</v>
      </c>
      <c r="S291" s="14"/>
      <c r="T291" s="14"/>
      <c r="U291" s="14"/>
      <c r="V291" s="14"/>
    </row>
    <row r="292" ht="22.5" customHeight="1">
      <c r="A292" s="11">
        <v>46147.72828429398</v>
      </c>
      <c r="B292" s="12" t="s">
        <v>22</v>
      </c>
      <c r="C292" s="13">
        <v>46147.0</v>
      </c>
      <c r="D292" s="12" t="s">
        <v>29</v>
      </c>
      <c r="E292" s="12" t="s">
        <v>104</v>
      </c>
      <c r="F292" s="12" t="s">
        <v>25</v>
      </c>
      <c r="G292" s="12" t="s">
        <v>69</v>
      </c>
      <c r="H292" s="12">
        <v>5.0</v>
      </c>
      <c r="I292" s="12">
        <v>5.0</v>
      </c>
      <c r="J292" s="12">
        <v>5.0</v>
      </c>
      <c r="K292" s="12">
        <v>4.0</v>
      </c>
      <c r="L292" s="12">
        <v>5.0</v>
      </c>
      <c r="M292" s="12">
        <v>5.0</v>
      </c>
      <c r="N292" s="12">
        <v>5.0</v>
      </c>
      <c r="O292" s="12">
        <v>5.0</v>
      </c>
      <c r="P292" s="12">
        <v>10.0</v>
      </c>
    </row>
    <row r="293" ht="22.5" customHeight="1">
      <c r="A293" s="11">
        <v>46147.729068877314</v>
      </c>
      <c r="B293" s="12" t="s">
        <v>22</v>
      </c>
      <c r="C293" s="13">
        <v>46147.0</v>
      </c>
      <c r="D293" s="12" t="s">
        <v>29</v>
      </c>
      <c r="E293" s="12" t="s">
        <v>277</v>
      </c>
      <c r="F293" s="12" t="s">
        <v>25</v>
      </c>
      <c r="G293" s="12" t="s">
        <v>62</v>
      </c>
      <c r="H293" s="12">
        <v>5.0</v>
      </c>
      <c r="I293" s="12">
        <v>5.0</v>
      </c>
      <c r="J293" s="12">
        <v>5.0</v>
      </c>
      <c r="K293" s="12">
        <v>4.0</v>
      </c>
      <c r="L293" s="12">
        <v>5.0</v>
      </c>
      <c r="M293" s="12">
        <v>5.0</v>
      </c>
      <c r="N293" s="12">
        <v>5.0</v>
      </c>
      <c r="O293" s="12">
        <v>5.0</v>
      </c>
      <c r="P293" s="12">
        <v>10.0</v>
      </c>
      <c r="Q293" s="12" t="s">
        <v>278</v>
      </c>
      <c r="R293" s="12" t="s">
        <v>38</v>
      </c>
      <c r="S293" s="14"/>
      <c r="T293" s="14"/>
      <c r="U293" s="14"/>
      <c r="V293" s="14"/>
    </row>
    <row r="294" ht="22.5" customHeight="1">
      <c r="A294" s="11">
        <v>46147.729095601855</v>
      </c>
      <c r="B294" s="12" t="s">
        <v>22</v>
      </c>
      <c r="C294" s="13">
        <v>39340.0</v>
      </c>
      <c r="D294" s="12" t="s">
        <v>29</v>
      </c>
      <c r="E294" s="12" t="s">
        <v>279</v>
      </c>
      <c r="F294" s="12" t="s">
        <v>30</v>
      </c>
      <c r="G294" s="12" t="s">
        <v>43</v>
      </c>
      <c r="H294" s="12">
        <v>5.0</v>
      </c>
      <c r="I294" s="12">
        <v>5.0</v>
      </c>
      <c r="J294" s="12">
        <v>5.0</v>
      </c>
      <c r="K294" s="12">
        <v>5.0</v>
      </c>
      <c r="L294" s="12">
        <v>5.0</v>
      </c>
      <c r="M294" s="12">
        <v>5.0</v>
      </c>
      <c r="N294" s="12">
        <v>5.0</v>
      </c>
      <c r="O294" s="12">
        <v>5.0</v>
      </c>
      <c r="P294" s="12">
        <v>10.0</v>
      </c>
      <c r="Q294" s="12" t="s">
        <v>44</v>
      </c>
      <c r="R294" s="12" t="s">
        <v>280</v>
      </c>
      <c r="S294" s="14"/>
      <c r="T294" s="14"/>
      <c r="U294" s="14"/>
      <c r="V294" s="14"/>
    </row>
    <row r="295" ht="22.5" customHeight="1">
      <c r="A295" s="11">
        <v>46147.729384872684</v>
      </c>
      <c r="B295" s="12" t="s">
        <v>22</v>
      </c>
      <c r="C295" s="13">
        <v>46147.0</v>
      </c>
      <c r="D295" s="12" t="s">
        <v>29</v>
      </c>
      <c r="F295" s="12" t="s">
        <v>30</v>
      </c>
      <c r="G295" s="12" t="s">
        <v>26</v>
      </c>
      <c r="H295" s="12">
        <v>4.0</v>
      </c>
      <c r="I295" s="12">
        <v>5.0</v>
      </c>
      <c r="J295" s="12">
        <v>5.0</v>
      </c>
      <c r="K295" s="12">
        <v>5.0</v>
      </c>
      <c r="L295" s="12">
        <v>4.0</v>
      </c>
      <c r="M295" s="12">
        <v>5.0</v>
      </c>
      <c r="N295" s="12">
        <v>5.0</v>
      </c>
      <c r="O295" s="12">
        <v>5.0</v>
      </c>
      <c r="P295" s="12">
        <v>10.0</v>
      </c>
      <c r="Q295" s="12" t="s">
        <v>281</v>
      </c>
      <c r="R295" s="12" t="s">
        <v>282</v>
      </c>
      <c r="S295" s="14"/>
      <c r="T295" s="14"/>
      <c r="U295" s="14"/>
      <c r="V295" s="14"/>
    </row>
    <row r="296" ht="22.5" customHeight="1">
      <c r="A296" s="11">
        <v>46147.72945092592</v>
      </c>
      <c r="B296" s="12" t="s">
        <v>22</v>
      </c>
      <c r="C296" s="13">
        <v>46147.0</v>
      </c>
      <c r="D296" s="12" t="s">
        <v>29</v>
      </c>
      <c r="F296" s="12" t="s">
        <v>30</v>
      </c>
      <c r="G296" s="12" t="s">
        <v>283</v>
      </c>
      <c r="H296" s="12">
        <v>4.0</v>
      </c>
      <c r="I296" s="12">
        <v>4.0</v>
      </c>
      <c r="J296" s="12">
        <v>3.0</v>
      </c>
      <c r="K296" s="12">
        <v>4.0</v>
      </c>
      <c r="L296" s="12">
        <v>3.0</v>
      </c>
      <c r="M296" s="12">
        <v>4.0</v>
      </c>
      <c r="N296" s="12">
        <v>3.0</v>
      </c>
      <c r="O296" s="12">
        <v>3.0</v>
      </c>
      <c r="P296" s="12">
        <v>10.0</v>
      </c>
      <c r="Q296" s="12" t="s">
        <v>41</v>
      </c>
      <c r="R296" s="12" t="s">
        <v>41</v>
      </c>
      <c r="S296" s="14"/>
      <c r="T296" s="14"/>
      <c r="U296" s="14"/>
      <c r="V296" s="14"/>
    </row>
    <row r="297" ht="22.5" customHeight="1">
      <c r="A297" s="11">
        <v>46147.73310611111</v>
      </c>
      <c r="B297" s="12" t="s">
        <v>22</v>
      </c>
      <c r="C297" s="13">
        <v>38577.0</v>
      </c>
      <c r="D297" s="12" t="s">
        <v>29</v>
      </c>
      <c r="E297" s="12" t="s">
        <v>284</v>
      </c>
      <c r="F297" s="12" t="s">
        <v>25</v>
      </c>
      <c r="G297" s="12" t="s">
        <v>54</v>
      </c>
      <c r="H297" s="12">
        <v>3.0</v>
      </c>
      <c r="I297" s="12">
        <v>4.0</v>
      </c>
      <c r="J297" s="12">
        <v>4.0</v>
      </c>
      <c r="K297" s="12">
        <v>3.0</v>
      </c>
      <c r="L297" s="12">
        <v>4.0</v>
      </c>
      <c r="M297" s="12">
        <v>4.0</v>
      </c>
      <c r="N297" s="12">
        <v>3.0</v>
      </c>
      <c r="O297" s="12">
        <v>2.0</v>
      </c>
      <c r="P297" s="12">
        <v>4.0</v>
      </c>
    </row>
    <row r="298" ht="22.5" customHeight="1">
      <c r="A298" s="11">
        <v>46147.73356096065</v>
      </c>
      <c r="B298" s="12" t="s">
        <v>22</v>
      </c>
      <c r="C298" s="13">
        <v>46147.0</v>
      </c>
      <c r="D298" s="12" t="s">
        <v>29</v>
      </c>
      <c r="F298" s="12" t="s">
        <v>30</v>
      </c>
      <c r="G298" s="12" t="s">
        <v>69</v>
      </c>
      <c r="H298" s="12">
        <v>4.0</v>
      </c>
      <c r="I298" s="12">
        <v>4.0</v>
      </c>
      <c r="J298" s="12">
        <v>4.0</v>
      </c>
      <c r="K298" s="12">
        <v>3.0</v>
      </c>
      <c r="L298" s="12">
        <v>3.0</v>
      </c>
      <c r="M298" s="12">
        <v>3.0</v>
      </c>
      <c r="N298" s="12">
        <v>3.0</v>
      </c>
      <c r="O298" s="12">
        <v>3.0</v>
      </c>
      <c r="P298" s="12">
        <v>5.0</v>
      </c>
    </row>
    <row r="299" ht="22.5" customHeight="1">
      <c r="A299" s="11">
        <v>46147.73531326389</v>
      </c>
      <c r="B299" s="12" t="s">
        <v>22</v>
      </c>
      <c r="C299" s="13">
        <v>46147.0</v>
      </c>
      <c r="D299" s="12" t="s">
        <v>29</v>
      </c>
      <c r="E299" s="12" t="s">
        <v>44</v>
      </c>
      <c r="F299" s="12" t="s">
        <v>25</v>
      </c>
      <c r="G299" s="12" t="s">
        <v>26</v>
      </c>
      <c r="H299" s="12">
        <v>5.0</v>
      </c>
      <c r="I299" s="12">
        <v>5.0</v>
      </c>
      <c r="J299" s="12">
        <v>5.0</v>
      </c>
      <c r="K299" s="12">
        <v>5.0</v>
      </c>
      <c r="L299" s="12">
        <v>5.0</v>
      </c>
      <c r="M299" s="12">
        <v>5.0</v>
      </c>
      <c r="N299" s="12">
        <v>5.0</v>
      </c>
      <c r="O299" s="12">
        <v>5.0</v>
      </c>
      <c r="P299" s="12">
        <v>10.0</v>
      </c>
      <c r="Q299" s="12" t="s">
        <v>285</v>
      </c>
      <c r="R299" s="12" t="s">
        <v>286</v>
      </c>
      <c r="S299" s="14"/>
      <c r="T299" s="14"/>
      <c r="U299" s="14"/>
      <c r="V299" s="14"/>
    </row>
    <row r="300" ht="22.5" customHeight="1">
      <c r="A300" s="11">
        <v>46147.73623796296</v>
      </c>
      <c r="B300" s="12" t="s">
        <v>22</v>
      </c>
      <c r="C300" s="13">
        <v>46143.0</v>
      </c>
      <c r="D300" s="12" t="s">
        <v>29</v>
      </c>
      <c r="F300" s="12" t="s">
        <v>25</v>
      </c>
      <c r="G300" s="12" t="s">
        <v>26</v>
      </c>
      <c r="H300" s="12">
        <v>5.0</v>
      </c>
      <c r="I300" s="12">
        <v>5.0</v>
      </c>
      <c r="J300" s="12">
        <v>5.0</v>
      </c>
      <c r="K300" s="12">
        <v>5.0</v>
      </c>
      <c r="L300" s="12">
        <v>5.0</v>
      </c>
      <c r="M300" s="12">
        <v>5.0</v>
      </c>
      <c r="N300" s="12">
        <v>5.0</v>
      </c>
      <c r="O300" s="12">
        <v>4.0</v>
      </c>
      <c r="P300" s="12">
        <v>10.0</v>
      </c>
    </row>
    <row r="301" ht="22.5" customHeight="1">
      <c r="A301" s="11">
        <v>46147.73625130787</v>
      </c>
      <c r="B301" s="12" t="s">
        <v>22</v>
      </c>
      <c r="C301" s="13">
        <v>46147.0</v>
      </c>
      <c r="D301" s="12" t="s">
        <v>29</v>
      </c>
      <c r="E301" s="12" t="s">
        <v>287</v>
      </c>
      <c r="F301" s="12" t="s">
        <v>30</v>
      </c>
      <c r="G301" s="12" t="s">
        <v>43</v>
      </c>
      <c r="H301" s="12">
        <v>5.0</v>
      </c>
      <c r="I301" s="12">
        <v>5.0</v>
      </c>
      <c r="J301" s="12">
        <v>5.0</v>
      </c>
      <c r="K301" s="12">
        <v>5.0</v>
      </c>
      <c r="L301" s="12">
        <v>5.0</v>
      </c>
      <c r="M301" s="12">
        <v>5.0</v>
      </c>
      <c r="N301" s="12">
        <v>5.0</v>
      </c>
      <c r="O301" s="12">
        <v>5.0</v>
      </c>
      <c r="P301" s="12">
        <v>10.0</v>
      </c>
      <c r="Q301" s="12" t="s">
        <v>44</v>
      </c>
      <c r="R301" s="12" t="s">
        <v>288</v>
      </c>
      <c r="S301" s="14"/>
      <c r="T301" s="14"/>
      <c r="U301" s="14"/>
      <c r="V301" s="14"/>
    </row>
    <row r="302" ht="22.5" customHeight="1">
      <c r="A302" s="11">
        <v>46147.73780869213</v>
      </c>
      <c r="B302" s="12" t="s">
        <v>22</v>
      </c>
      <c r="C302" s="13">
        <v>46147.0</v>
      </c>
      <c r="D302" s="12" t="s">
        <v>29</v>
      </c>
      <c r="E302" s="12" t="s">
        <v>289</v>
      </c>
      <c r="F302" s="12" t="s">
        <v>25</v>
      </c>
      <c r="G302" s="12" t="s">
        <v>57</v>
      </c>
      <c r="H302" s="12">
        <v>5.0</v>
      </c>
      <c r="I302" s="12">
        <v>5.0</v>
      </c>
      <c r="J302" s="12">
        <v>5.0</v>
      </c>
      <c r="K302" s="12">
        <v>5.0</v>
      </c>
      <c r="L302" s="12">
        <v>5.0</v>
      </c>
      <c r="M302" s="12">
        <v>5.0</v>
      </c>
      <c r="N302" s="12">
        <v>5.0</v>
      </c>
      <c r="O302" s="12">
        <v>5.0</v>
      </c>
      <c r="P302" s="12">
        <v>10.0</v>
      </c>
      <c r="Q302" s="12" t="s">
        <v>44</v>
      </c>
      <c r="R302" s="12" t="s">
        <v>44</v>
      </c>
      <c r="S302" s="14"/>
      <c r="T302" s="14"/>
      <c r="U302" s="14"/>
      <c r="V302" s="14"/>
    </row>
    <row r="303" ht="22.5" customHeight="1">
      <c r="A303" s="11">
        <v>46147.73940736111</v>
      </c>
      <c r="B303" s="12" t="s">
        <v>22</v>
      </c>
      <c r="C303" s="13">
        <v>46147.0</v>
      </c>
      <c r="D303" s="12" t="s">
        <v>29</v>
      </c>
      <c r="E303" s="12" t="s">
        <v>143</v>
      </c>
      <c r="F303" s="12" t="s">
        <v>25</v>
      </c>
      <c r="G303" s="12" t="s">
        <v>26</v>
      </c>
      <c r="H303" s="12">
        <v>4.0</v>
      </c>
      <c r="I303" s="12">
        <v>5.0</v>
      </c>
      <c r="J303" s="12">
        <v>5.0</v>
      </c>
      <c r="K303" s="12">
        <v>5.0</v>
      </c>
      <c r="L303" s="12">
        <v>5.0</v>
      </c>
      <c r="M303" s="12">
        <v>5.0</v>
      </c>
      <c r="N303" s="12">
        <v>5.0</v>
      </c>
      <c r="O303" s="12">
        <v>5.0</v>
      </c>
      <c r="P303" s="12">
        <v>8.0</v>
      </c>
      <c r="Q303" s="12" t="s">
        <v>290</v>
      </c>
      <c r="R303" s="12" t="s">
        <v>291</v>
      </c>
      <c r="S303" s="14"/>
      <c r="T303" s="14"/>
      <c r="U303" s="14"/>
      <c r="V303" s="14"/>
    </row>
    <row r="304" ht="22.5" customHeight="1">
      <c r="A304" s="11">
        <v>46147.739708124995</v>
      </c>
      <c r="B304" s="12" t="s">
        <v>22</v>
      </c>
      <c r="C304" s="13" t="s">
        <v>292</v>
      </c>
      <c r="D304" s="12" t="s">
        <v>29</v>
      </c>
      <c r="F304" s="12" t="s">
        <v>68</v>
      </c>
      <c r="G304" s="12" t="s">
        <v>26</v>
      </c>
      <c r="H304" s="12">
        <v>4.0</v>
      </c>
      <c r="I304" s="12">
        <v>4.0</v>
      </c>
      <c r="J304" s="12">
        <v>3.0</v>
      </c>
      <c r="K304" s="12">
        <v>4.0</v>
      </c>
      <c r="L304" s="12">
        <v>4.0</v>
      </c>
      <c r="M304" s="12">
        <v>4.0</v>
      </c>
      <c r="N304" s="12">
        <v>4.0</v>
      </c>
      <c r="O304" s="12">
        <v>4.0</v>
      </c>
      <c r="P304" s="12">
        <v>7.0</v>
      </c>
    </row>
    <row r="305" ht="22.5" customHeight="1">
      <c r="A305" s="11">
        <v>46147.74694099537</v>
      </c>
      <c r="B305" s="12" t="s">
        <v>22</v>
      </c>
      <c r="C305" s="13">
        <v>46147.0</v>
      </c>
      <c r="D305" s="12" t="s">
        <v>29</v>
      </c>
      <c r="F305" s="12" t="s">
        <v>25</v>
      </c>
      <c r="G305" s="12" t="s">
        <v>43</v>
      </c>
      <c r="H305" s="12">
        <v>4.0</v>
      </c>
      <c r="I305" s="12">
        <v>4.0</v>
      </c>
      <c r="J305" s="12">
        <v>4.0</v>
      </c>
      <c r="K305" s="12">
        <v>3.0</v>
      </c>
      <c r="L305" s="12">
        <v>3.0</v>
      </c>
      <c r="M305" s="12">
        <v>3.0</v>
      </c>
      <c r="N305" s="12">
        <v>3.0</v>
      </c>
      <c r="O305" s="12">
        <v>4.0</v>
      </c>
      <c r="P305" s="12">
        <v>8.0</v>
      </c>
    </row>
    <row r="306" ht="22.5" customHeight="1">
      <c r="A306" s="11">
        <v>46147.75103755787</v>
      </c>
      <c r="B306" s="12" t="s">
        <v>22</v>
      </c>
      <c r="C306" s="13">
        <v>46142.0</v>
      </c>
      <c r="D306" s="12" t="s">
        <v>29</v>
      </c>
      <c r="E306" s="12" t="s">
        <v>293</v>
      </c>
      <c r="F306" s="12" t="s">
        <v>25</v>
      </c>
      <c r="G306" s="12" t="s">
        <v>26</v>
      </c>
      <c r="H306" s="12">
        <v>3.0</v>
      </c>
      <c r="I306" s="12">
        <v>2.0</v>
      </c>
      <c r="J306" s="12">
        <v>2.0</v>
      </c>
      <c r="K306" s="12">
        <v>2.0</v>
      </c>
      <c r="L306" s="12">
        <v>3.0</v>
      </c>
      <c r="M306" s="12">
        <v>2.0</v>
      </c>
      <c r="N306" s="12">
        <v>2.0</v>
      </c>
      <c r="O306" s="12">
        <v>2.0</v>
      </c>
      <c r="P306" s="12">
        <v>3.0</v>
      </c>
      <c r="Q306" s="12" t="s">
        <v>294</v>
      </c>
      <c r="R306" s="12" t="s">
        <v>295</v>
      </c>
      <c r="S306" s="14"/>
      <c r="T306" s="14"/>
      <c r="U306" s="14"/>
      <c r="V306" s="14"/>
    </row>
    <row r="307" ht="22.5" customHeight="1">
      <c r="A307" s="11">
        <v>46147.75125931713</v>
      </c>
      <c r="B307" s="12" t="s">
        <v>22</v>
      </c>
      <c r="C307" s="13">
        <v>46130.0</v>
      </c>
      <c r="D307" s="12" t="s">
        <v>29</v>
      </c>
      <c r="F307" s="12" t="s">
        <v>68</v>
      </c>
      <c r="G307" s="12" t="s">
        <v>26</v>
      </c>
      <c r="H307" s="12">
        <v>5.0</v>
      </c>
      <c r="I307" s="12">
        <v>5.0</v>
      </c>
      <c r="J307" s="12">
        <v>5.0</v>
      </c>
      <c r="K307" s="12">
        <v>5.0</v>
      </c>
      <c r="L307" s="12">
        <v>5.0</v>
      </c>
      <c r="M307" s="12">
        <v>5.0</v>
      </c>
      <c r="N307" s="12">
        <v>5.0</v>
      </c>
      <c r="O307" s="12">
        <v>5.0</v>
      </c>
      <c r="P307" s="12">
        <v>10.0</v>
      </c>
    </row>
    <row r="308" ht="22.5" customHeight="1">
      <c r="A308" s="11">
        <v>46147.75683226852</v>
      </c>
      <c r="B308" s="12" t="s">
        <v>22</v>
      </c>
      <c r="C308" s="13">
        <v>46144.0</v>
      </c>
      <c r="D308" s="12" t="s">
        <v>29</v>
      </c>
      <c r="E308" s="12" t="s">
        <v>296</v>
      </c>
      <c r="F308" s="12" t="s">
        <v>25</v>
      </c>
      <c r="G308" s="12" t="s">
        <v>26</v>
      </c>
      <c r="H308" s="12">
        <v>3.0</v>
      </c>
      <c r="I308" s="12">
        <v>3.0</v>
      </c>
      <c r="J308" s="12">
        <v>4.0</v>
      </c>
      <c r="K308" s="12">
        <v>3.0</v>
      </c>
      <c r="L308" s="12">
        <v>5.0</v>
      </c>
      <c r="M308" s="12">
        <v>3.0</v>
      </c>
      <c r="N308" s="12">
        <v>4.0</v>
      </c>
      <c r="O308" s="12">
        <v>3.0</v>
      </c>
      <c r="P308" s="12">
        <v>6.0</v>
      </c>
    </row>
    <row r="309" ht="22.5" customHeight="1">
      <c r="A309" s="11">
        <v>46147.75741640046</v>
      </c>
      <c r="B309" s="12" t="s">
        <v>22</v>
      </c>
      <c r="C309" s="13" t="s">
        <v>297</v>
      </c>
      <c r="D309" s="12" t="s">
        <v>29</v>
      </c>
      <c r="F309" s="12" t="s">
        <v>30</v>
      </c>
      <c r="G309" s="12" t="s">
        <v>26</v>
      </c>
      <c r="H309" s="12">
        <v>3.0</v>
      </c>
      <c r="I309" s="12">
        <v>3.0</v>
      </c>
      <c r="J309" s="12">
        <v>3.0</v>
      </c>
      <c r="K309" s="12">
        <v>3.0</v>
      </c>
      <c r="L309" s="12">
        <v>2.0</v>
      </c>
      <c r="M309" s="12">
        <v>3.0</v>
      </c>
      <c r="N309" s="12">
        <v>3.0</v>
      </c>
      <c r="O309" s="12">
        <v>4.0</v>
      </c>
      <c r="P309" s="12">
        <v>4.0</v>
      </c>
    </row>
    <row r="310" ht="22.5" customHeight="1">
      <c r="A310" s="11">
        <v>46147.762740844904</v>
      </c>
      <c r="B310" s="12" t="s">
        <v>22</v>
      </c>
      <c r="C310" s="13">
        <v>46147.0</v>
      </c>
      <c r="D310" s="12" t="s">
        <v>29</v>
      </c>
      <c r="F310" s="12" t="s">
        <v>30</v>
      </c>
      <c r="G310" s="12" t="s">
        <v>69</v>
      </c>
      <c r="H310" s="12">
        <v>4.0</v>
      </c>
      <c r="I310" s="12">
        <v>4.0</v>
      </c>
      <c r="J310" s="12">
        <v>4.0</v>
      </c>
      <c r="K310" s="12">
        <v>4.0</v>
      </c>
      <c r="L310" s="12">
        <v>4.0</v>
      </c>
      <c r="M310" s="12">
        <v>4.0</v>
      </c>
      <c r="N310" s="12">
        <v>4.0</v>
      </c>
      <c r="O310" s="12">
        <v>4.0</v>
      </c>
      <c r="P310" s="12">
        <v>9.0</v>
      </c>
    </row>
    <row r="311" ht="22.5" customHeight="1">
      <c r="A311" s="11">
        <v>46147.7704612963</v>
      </c>
      <c r="B311" s="12" t="s">
        <v>22</v>
      </c>
      <c r="C311" s="13">
        <v>46147.0</v>
      </c>
      <c r="D311" s="12" t="s">
        <v>29</v>
      </c>
      <c r="F311" s="12" t="s">
        <v>30</v>
      </c>
      <c r="G311" s="12" t="s">
        <v>43</v>
      </c>
      <c r="H311" s="12">
        <v>5.0</v>
      </c>
      <c r="I311" s="12">
        <v>5.0</v>
      </c>
      <c r="J311" s="12">
        <v>5.0</v>
      </c>
      <c r="K311" s="12">
        <v>4.0</v>
      </c>
      <c r="L311" s="12">
        <v>4.0</v>
      </c>
      <c r="M311" s="12">
        <v>4.0</v>
      </c>
      <c r="N311" s="12">
        <v>4.0</v>
      </c>
      <c r="O311" s="12">
        <v>4.0</v>
      </c>
      <c r="P311" s="12">
        <v>8.0</v>
      </c>
    </row>
    <row r="312" ht="22.5" customHeight="1">
      <c r="A312" s="11">
        <v>46147.77245405092</v>
      </c>
      <c r="B312" s="12" t="s">
        <v>22</v>
      </c>
      <c r="C312" s="13">
        <v>46146.0</v>
      </c>
      <c r="D312" s="12" t="s">
        <v>29</v>
      </c>
      <c r="F312" s="12" t="s">
        <v>30</v>
      </c>
      <c r="G312" s="12" t="s">
        <v>298</v>
      </c>
      <c r="H312" s="12">
        <v>5.0</v>
      </c>
      <c r="I312" s="12">
        <v>5.0</v>
      </c>
      <c r="J312" s="12">
        <v>5.0</v>
      </c>
      <c r="K312" s="12">
        <v>5.0</v>
      </c>
      <c r="L312" s="12">
        <v>5.0</v>
      </c>
      <c r="M312" s="12">
        <v>5.0</v>
      </c>
      <c r="N312" s="12">
        <v>5.0</v>
      </c>
      <c r="O312" s="12">
        <v>5.0</v>
      </c>
      <c r="P312" s="12">
        <v>10.0</v>
      </c>
    </row>
    <row r="313" ht="22.5" customHeight="1">
      <c r="A313" s="11">
        <v>46147.77631452546</v>
      </c>
      <c r="B313" s="12" t="s">
        <v>22</v>
      </c>
      <c r="C313" s="13">
        <v>46147.0</v>
      </c>
      <c r="D313" s="12" t="s">
        <v>29</v>
      </c>
      <c r="E313" s="12" t="s">
        <v>41</v>
      </c>
      <c r="F313" s="12" t="s">
        <v>30</v>
      </c>
      <c r="G313" s="12" t="s">
        <v>26</v>
      </c>
      <c r="H313" s="12">
        <v>4.0</v>
      </c>
      <c r="I313" s="12">
        <v>4.0</v>
      </c>
      <c r="J313" s="12">
        <v>4.0</v>
      </c>
      <c r="K313" s="12">
        <v>4.0</v>
      </c>
      <c r="L313" s="12">
        <v>4.0</v>
      </c>
      <c r="M313" s="12">
        <v>4.0</v>
      </c>
      <c r="N313" s="12">
        <v>4.0</v>
      </c>
      <c r="O313" s="12">
        <v>4.0</v>
      </c>
      <c r="P313" s="12">
        <v>7.0</v>
      </c>
      <c r="Q313" s="12" t="s">
        <v>41</v>
      </c>
      <c r="R313" s="12" t="s">
        <v>41</v>
      </c>
      <c r="S313" s="14"/>
      <c r="T313" s="14"/>
      <c r="U313" s="14"/>
      <c r="V313" s="14"/>
    </row>
    <row r="314" ht="22.5" customHeight="1">
      <c r="A314" s="11">
        <v>46147.77857277778</v>
      </c>
      <c r="B314" s="12" t="s">
        <v>22</v>
      </c>
      <c r="C314" s="13">
        <v>46147.0</v>
      </c>
      <c r="D314" s="12" t="s">
        <v>29</v>
      </c>
      <c r="F314" s="12" t="s">
        <v>30</v>
      </c>
      <c r="G314" s="12" t="s">
        <v>69</v>
      </c>
      <c r="H314" s="12">
        <v>4.0</v>
      </c>
      <c r="I314" s="12">
        <v>5.0</v>
      </c>
      <c r="J314" s="12">
        <v>3.0</v>
      </c>
      <c r="K314" s="12">
        <v>4.0</v>
      </c>
      <c r="L314" s="12">
        <v>5.0</v>
      </c>
      <c r="M314" s="12">
        <v>4.0</v>
      </c>
      <c r="N314" s="12">
        <v>4.0</v>
      </c>
      <c r="O314" s="12">
        <v>5.0</v>
      </c>
      <c r="P314" s="12">
        <v>8.0</v>
      </c>
      <c r="Q314" s="12" t="s">
        <v>299</v>
      </c>
      <c r="R314" s="12" t="s">
        <v>300</v>
      </c>
      <c r="S314" s="14"/>
      <c r="T314" s="14"/>
      <c r="U314" s="14"/>
      <c r="V314" s="14"/>
    </row>
    <row r="315" ht="22.5" customHeight="1">
      <c r="A315" s="11">
        <v>46147.77982163195</v>
      </c>
      <c r="B315" s="12" t="s">
        <v>22</v>
      </c>
      <c r="C315" s="13">
        <v>46146.0</v>
      </c>
      <c r="D315" s="12" t="s">
        <v>29</v>
      </c>
      <c r="E315" s="12" t="s">
        <v>41</v>
      </c>
      <c r="F315" s="12" t="s">
        <v>25</v>
      </c>
      <c r="G315" s="12" t="s">
        <v>301</v>
      </c>
      <c r="H315" s="12">
        <v>5.0</v>
      </c>
      <c r="I315" s="12">
        <v>5.0</v>
      </c>
      <c r="J315" s="12">
        <v>5.0</v>
      </c>
      <c r="K315" s="12">
        <v>5.0</v>
      </c>
      <c r="L315" s="12">
        <v>5.0</v>
      </c>
      <c r="M315" s="12">
        <v>4.0</v>
      </c>
      <c r="N315" s="12">
        <v>4.0</v>
      </c>
      <c r="O315" s="12">
        <v>5.0</v>
      </c>
      <c r="P315" s="12">
        <v>9.0</v>
      </c>
      <c r="Q315" s="12" t="s">
        <v>302</v>
      </c>
      <c r="R315" s="12" t="s">
        <v>303</v>
      </c>
      <c r="S315" s="14"/>
      <c r="T315" s="14"/>
      <c r="U315" s="14"/>
      <c r="V315" s="14"/>
    </row>
    <row r="316" ht="22.5" customHeight="1">
      <c r="A316" s="11">
        <v>46147.79471315972</v>
      </c>
      <c r="B316" s="12" t="s">
        <v>22</v>
      </c>
      <c r="C316" s="13">
        <v>46147.0</v>
      </c>
      <c r="D316" s="12" t="s">
        <v>29</v>
      </c>
      <c r="F316" s="12" t="s">
        <v>30</v>
      </c>
      <c r="G316" s="12" t="s">
        <v>43</v>
      </c>
      <c r="H316" s="12">
        <v>3.0</v>
      </c>
      <c r="I316" s="12">
        <v>3.0</v>
      </c>
      <c r="J316" s="12">
        <v>2.0</v>
      </c>
      <c r="K316" s="12">
        <v>2.0</v>
      </c>
      <c r="L316" s="12">
        <v>2.0</v>
      </c>
      <c r="M316" s="12">
        <v>2.0</v>
      </c>
      <c r="N316" s="12">
        <v>2.0</v>
      </c>
      <c r="O316" s="12">
        <v>2.0</v>
      </c>
      <c r="P316" s="12">
        <v>2.0</v>
      </c>
    </row>
    <row r="317" ht="22.5" customHeight="1">
      <c r="A317" s="11">
        <v>46147.79936527778</v>
      </c>
      <c r="B317" s="12" t="s">
        <v>22</v>
      </c>
      <c r="C317" s="13">
        <v>46147.0</v>
      </c>
      <c r="D317" s="12" t="s">
        <v>29</v>
      </c>
      <c r="E317" s="12" t="s">
        <v>304</v>
      </c>
      <c r="F317" s="12" t="s">
        <v>25</v>
      </c>
      <c r="G317" s="12" t="s">
        <v>43</v>
      </c>
      <c r="H317" s="12">
        <v>5.0</v>
      </c>
      <c r="I317" s="12">
        <v>2.0</v>
      </c>
      <c r="K317" s="12">
        <v>5.0</v>
      </c>
      <c r="L317" s="12">
        <v>4.0</v>
      </c>
      <c r="M317" s="12">
        <v>3.0</v>
      </c>
      <c r="N317" s="12">
        <v>5.0</v>
      </c>
      <c r="O317" s="12">
        <v>3.0</v>
      </c>
      <c r="P317" s="12">
        <v>5.0</v>
      </c>
    </row>
    <row r="318" ht="22.5" customHeight="1">
      <c r="A318" s="11">
        <v>46147.847105231485</v>
      </c>
      <c r="B318" s="12" t="s">
        <v>22</v>
      </c>
      <c r="C318" s="13">
        <v>46147.0</v>
      </c>
      <c r="D318" s="12" t="s">
        <v>29</v>
      </c>
      <c r="F318" s="12" t="s">
        <v>30</v>
      </c>
      <c r="G318" s="12" t="s">
        <v>26</v>
      </c>
      <c r="H318" s="12">
        <v>4.0</v>
      </c>
      <c r="I318" s="12">
        <v>4.0</v>
      </c>
      <c r="J318" s="12">
        <v>4.0</v>
      </c>
      <c r="K318" s="12">
        <v>2.0</v>
      </c>
      <c r="L318" s="12">
        <v>3.0</v>
      </c>
      <c r="M318" s="12">
        <v>3.0</v>
      </c>
      <c r="N318" s="12">
        <v>3.0</v>
      </c>
      <c r="O318" s="12">
        <v>4.0</v>
      </c>
      <c r="P318" s="12">
        <v>2.0</v>
      </c>
      <c r="Q318" s="12" t="s">
        <v>120</v>
      </c>
      <c r="R318" s="12" t="s">
        <v>71</v>
      </c>
      <c r="S318" s="14"/>
      <c r="T318" s="14"/>
      <c r="U318" s="14"/>
      <c r="V318" s="14"/>
    </row>
    <row r="319" ht="22.5" customHeight="1">
      <c r="A319" s="11">
        <v>46147.85024925926</v>
      </c>
      <c r="B319" s="12" t="s">
        <v>22</v>
      </c>
      <c r="C319" s="13">
        <v>46137.0</v>
      </c>
      <c r="D319" s="12" t="s">
        <v>29</v>
      </c>
      <c r="F319" s="12" t="s">
        <v>25</v>
      </c>
      <c r="G319" s="12" t="s">
        <v>69</v>
      </c>
      <c r="H319" s="12">
        <v>4.0</v>
      </c>
      <c r="I319" s="12">
        <v>4.0</v>
      </c>
      <c r="J319" s="12">
        <v>4.0</v>
      </c>
      <c r="K319" s="12">
        <v>5.0</v>
      </c>
      <c r="L319" s="12">
        <v>5.0</v>
      </c>
      <c r="M319" s="12">
        <v>5.0</v>
      </c>
      <c r="N319" s="12">
        <v>5.0</v>
      </c>
      <c r="O319" s="12">
        <v>5.0</v>
      </c>
      <c r="P319" s="12">
        <v>10.0</v>
      </c>
      <c r="Q319" s="12" t="s">
        <v>71</v>
      </c>
      <c r="R319" s="12" t="s">
        <v>71</v>
      </c>
      <c r="S319" s="14"/>
      <c r="T319" s="14"/>
      <c r="U319" s="14"/>
      <c r="V319" s="14"/>
    </row>
    <row r="320" ht="22.5" customHeight="1">
      <c r="A320" s="11">
        <v>46147.92600847222</v>
      </c>
      <c r="B320" s="12" t="s">
        <v>22</v>
      </c>
      <c r="C320" s="13">
        <v>46144.0</v>
      </c>
      <c r="D320" s="12" t="s">
        <v>29</v>
      </c>
      <c r="E320" s="12" t="s">
        <v>176</v>
      </c>
      <c r="F320" s="12" t="s">
        <v>25</v>
      </c>
      <c r="G320" s="12" t="s">
        <v>43</v>
      </c>
      <c r="H320" s="12">
        <v>5.0</v>
      </c>
      <c r="I320" s="12">
        <v>5.0</v>
      </c>
      <c r="J320" s="12">
        <v>5.0</v>
      </c>
      <c r="K320" s="12">
        <v>5.0</v>
      </c>
      <c r="L320" s="12">
        <v>5.0</v>
      </c>
      <c r="M320" s="12">
        <v>5.0</v>
      </c>
      <c r="N320" s="12">
        <v>5.0</v>
      </c>
      <c r="O320" s="12">
        <v>5.0</v>
      </c>
      <c r="P320" s="12">
        <v>10.0</v>
      </c>
      <c r="Q320" s="12" t="s">
        <v>305</v>
      </c>
      <c r="R320" s="12" t="s">
        <v>306</v>
      </c>
      <c r="S320" s="14"/>
      <c r="T320" s="14"/>
      <c r="U320" s="14"/>
      <c r="V320" s="14"/>
    </row>
    <row r="321" ht="22.5" customHeight="1">
      <c r="A321" s="11">
        <v>46147.98976048611</v>
      </c>
      <c r="B321" s="12" t="s">
        <v>22</v>
      </c>
      <c r="C321" s="13">
        <v>46147.0</v>
      </c>
      <c r="D321" s="12" t="s">
        <v>29</v>
      </c>
      <c r="F321" s="12" t="s">
        <v>25</v>
      </c>
      <c r="G321" s="12" t="s">
        <v>26</v>
      </c>
      <c r="H321" s="12">
        <v>5.0</v>
      </c>
      <c r="I321" s="12">
        <v>4.0</v>
      </c>
      <c r="J321" s="12">
        <v>5.0</v>
      </c>
      <c r="K321" s="12">
        <v>4.0</v>
      </c>
      <c r="L321" s="12">
        <v>5.0</v>
      </c>
      <c r="M321" s="12">
        <v>4.0</v>
      </c>
      <c r="N321" s="12">
        <v>5.0</v>
      </c>
      <c r="O321" s="12">
        <v>5.0</v>
      </c>
      <c r="P321" s="12">
        <v>6.0</v>
      </c>
    </row>
    <row r="322" ht="22.5" customHeight="1">
      <c r="A322" s="11">
        <v>46148.31080811343</v>
      </c>
      <c r="B322" s="12" t="s">
        <v>22</v>
      </c>
      <c r="C322" s="13" t="s">
        <v>307</v>
      </c>
      <c r="D322" s="12" t="s">
        <v>29</v>
      </c>
      <c r="F322" s="12" t="s">
        <v>25</v>
      </c>
      <c r="G322" s="12" t="s">
        <v>26</v>
      </c>
      <c r="H322" s="12">
        <v>3.0</v>
      </c>
      <c r="I322" s="12">
        <v>3.0</v>
      </c>
      <c r="J322" s="12">
        <v>4.0</v>
      </c>
      <c r="K322" s="12">
        <v>4.0</v>
      </c>
      <c r="L322" s="12">
        <v>4.0</v>
      </c>
      <c r="M322" s="12">
        <v>4.0</v>
      </c>
      <c r="N322" s="12">
        <v>4.0</v>
      </c>
      <c r="O322" s="12">
        <v>4.0</v>
      </c>
      <c r="P322" s="12">
        <v>7.0</v>
      </c>
      <c r="R322" s="12" t="s">
        <v>38</v>
      </c>
      <c r="S322" s="14"/>
      <c r="T322" s="14"/>
      <c r="U322" s="14"/>
      <c r="V322" s="14"/>
    </row>
    <row r="323" ht="22.5" customHeight="1">
      <c r="A323" s="11">
        <v>46148.393591851855</v>
      </c>
      <c r="B323" s="12" t="s">
        <v>22</v>
      </c>
      <c r="C323" s="13">
        <v>46148.0</v>
      </c>
      <c r="D323" s="12" t="s">
        <v>29</v>
      </c>
      <c r="E323" s="12" t="s">
        <v>121</v>
      </c>
      <c r="F323" s="12" t="s">
        <v>30</v>
      </c>
      <c r="G323" s="12" t="s">
        <v>26</v>
      </c>
      <c r="H323" s="12">
        <v>4.0</v>
      </c>
      <c r="I323" s="12">
        <v>4.0</v>
      </c>
      <c r="J323" s="12">
        <v>4.0</v>
      </c>
      <c r="K323" s="12">
        <v>4.0</v>
      </c>
      <c r="L323" s="12">
        <v>3.0</v>
      </c>
      <c r="M323" s="12">
        <v>3.0</v>
      </c>
      <c r="N323" s="12">
        <v>3.0</v>
      </c>
      <c r="O323" s="12">
        <v>3.0</v>
      </c>
      <c r="P323" s="12">
        <v>3.0</v>
      </c>
      <c r="Q323" s="12" t="s">
        <v>120</v>
      </c>
      <c r="R323" s="12" t="s">
        <v>71</v>
      </c>
      <c r="S323" s="14"/>
      <c r="T323" s="14"/>
      <c r="U323" s="14"/>
      <c r="V323" s="14"/>
    </row>
    <row r="324" ht="22.5" customHeight="1">
      <c r="A324" s="11">
        <v>46148.393974108796</v>
      </c>
      <c r="B324" s="12" t="s">
        <v>22</v>
      </c>
      <c r="C324" s="13">
        <v>46148.0</v>
      </c>
      <c r="D324" s="12" t="s">
        <v>29</v>
      </c>
      <c r="E324" s="12" t="s">
        <v>150</v>
      </c>
      <c r="F324" s="12" t="s">
        <v>25</v>
      </c>
      <c r="G324" s="12" t="s">
        <v>26</v>
      </c>
      <c r="H324" s="12">
        <v>4.0</v>
      </c>
      <c r="I324" s="12">
        <v>3.0</v>
      </c>
      <c r="J324" s="12">
        <v>4.0</v>
      </c>
      <c r="K324" s="12">
        <v>4.0</v>
      </c>
      <c r="L324" s="12">
        <v>4.0</v>
      </c>
      <c r="M324" s="12">
        <v>4.0</v>
      </c>
      <c r="N324" s="12">
        <v>4.0</v>
      </c>
      <c r="O324" s="12">
        <v>3.0</v>
      </c>
      <c r="P324" s="12">
        <v>7.0</v>
      </c>
      <c r="Q324" s="12" t="s">
        <v>44</v>
      </c>
      <c r="R324" s="12" t="s">
        <v>308</v>
      </c>
      <c r="S324" s="14"/>
      <c r="T324" s="14"/>
      <c r="U324" s="14"/>
      <c r="V324" s="14"/>
    </row>
    <row r="325" ht="22.5" customHeight="1">
      <c r="A325" s="11">
        <v>46148.39499153935</v>
      </c>
      <c r="B325" s="12" t="s">
        <v>22</v>
      </c>
      <c r="C325" s="13">
        <v>46148.0</v>
      </c>
      <c r="D325" s="12" t="s">
        <v>29</v>
      </c>
      <c r="E325" s="12" t="s">
        <v>309</v>
      </c>
      <c r="F325" s="12" t="s">
        <v>30</v>
      </c>
      <c r="G325" s="12" t="s">
        <v>26</v>
      </c>
      <c r="H325" s="12">
        <v>3.0</v>
      </c>
      <c r="I325" s="12">
        <v>3.0</v>
      </c>
      <c r="J325" s="12">
        <v>3.0</v>
      </c>
      <c r="K325" s="12">
        <v>3.0</v>
      </c>
      <c r="L325" s="12">
        <v>3.0</v>
      </c>
      <c r="M325" s="12">
        <v>3.0</v>
      </c>
      <c r="N325" s="12">
        <v>3.0</v>
      </c>
      <c r="O325" s="12">
        <v>3.0</v>
      </c>
      <c r="P325" s="12">
        <v>5.0</v>
      </c>
    </row>
    <row r="326" ht="22.5" customHeight="1">
      <c r="A326" s="11">
        <v>46148.39505689815</v>
      </c>
      <c r="B326" s="12" t="s">
        <v>22</v>
      </c>
      <c r="C326" s="13">
        <v>46148.0</v>
      </c>
      <c r="D326" s="12" t="s">
        <v>29</v>
      </c>
      <c r="F326" s="12" t="s">
        <v>30</v>
      </c>
      <c r="G326" s="12" t="s">
        <v>26</v>
      </c>
      <c r="H326" s="12">
        <v>4.0</v>
      </c>
      <c r="I326" s="12">
        <v>4.0</v>
      </c>
      <c r="J326" s="12">
        <v>4.0</v>
      </c>
      <c r="K326" s="12">
        <v>4.0</v>
      </c>
      <c r="L326" s="12">
        <v>4.0</v>
      </c>
      <c r="M326" s="12">
        <v>4.0</v>
      </c>
      <c r="N326" s="12">
        <v>4.0</v>
      </c>
      <c r="O326" s="12">
        <v>4.0</v>
      </c>
      <c r="P326" s="12">
        <v>5.0</v>
      </c>
    </row>
    <row r="327" ht="22.5" customHeight="1">
      <c r="A327" s="11">
        <v>46148.39507599537</v>
      </c>
      <c r="B327" s="12" t="s">
        <v>22</v>
      </c>
      <c r="C327" s="13">
        <v>46148.0</v>
      </c>
      <c r="D327" s="12" t="s">
        <v>29</v>
      </c>
      <c r="E327" s="12" t="s">
        <v>310</v>
      </c>
      <c r="F327" s="12" t="s">
        <v>30</v>
      </c>
      <c r="G327" s="12" t="s">
        <v>26</v>
      </c>
      <c r="H327" s="12">
        <v>5.0</v>
      </c>
      <c r="I327" s="12">
        <v>4.0</v>
      </c>
      <c r="J327" s="12">
        <v>5.0</v>
      </c>
      <c r="K327" s="12">
        <v>4.0</v>
      </c>
      <c r="L327" s="12">
        <v>5.0</v>
      </c>
      <c r="M327" s="12">
        <v>5.0</v>
      </c>
      <c r="N327" s="12">
        <v>5.0</v>
      </c>
      <c r="O327" s="12">
        <v>5.0</v>
      </c>
      <c r="P327" s="12">
        <v>10.0</v>
      </c>
      <c r="R327" s="12" t="s">
        <v>311</v>
      </c>
      <c r="S327" s="14"/>
      <c r="T327" s="14"/>
      <c r="U327" s="14"/>
      <c r="V327" s="14"/>
    </row>
    <row r="328" ht="22.5" customHeight="1">
      <c r="A328" s="11">
        <v>46148.39552737269</v>
      </c>
      <c r="B328" s="12" t="s">
        <v>22</v>
      </c>
      <c r="C328" s="13">
        <v>45783.0</v>
      </c>
      <c r="D328" s="12" t="s">
        <v>29</v>
      </c>
      <c r="E328" s="12" t="s">
        <v>312</v>
      </c>
      <c r="F328" s="12" t="s">
        <v>25</v>
      </c>
      <c r="G328" s="12" t="s">
        <v>69</v>
      </c>
      <c r="H328" s="12">
        <v>5.0</v>
      </c>
      <c r="I328" s="12">
        <v>5.0</v>
      </c>
      <c r="J328" s="12">
        <v>5.0</v>
      </c>
      <c r="K328" s="12">
        <v>5.0</v>
      </c>
      <c r="L328" s="12">
        <v>5.0</v>
      </c>
      <c r="M328" s="12">
        <v>5.0</v>
      </c>
      <c r="N328" s="12">
        <v>5.0</v>
      </c>
      <c r="O328" s="12">
        <v>5.0</v>
      </c>
      <c r="P328" s="12">
        <v>10.0</v>
      </c>
    </row>
    <row r="329" ht="22.5" customHeight="1">
      <c r="A329" s="11">
        <v>46148.39783981482</v>
      </c>
      <c r="B329" s="12" t="s">
        <v>22</v>
      </c>
      <c r="C329" s="13">
        <v>46118.0</v>
      </c>
      <c r="D329" s="12" t="s">
        <v>29</v>
      </c>
      <c r="F329" s="12" t="s">
        <v>30</v>
      </c>
      <c r="G329" s="12" t="s">
        <v>43</v>
      </c>
      <c r="H329" s="12">
        <v>5.0</v>
      </c>
      <c r="I329" s="12">
        <v>5.0</v>
      </c>
      <c r="J329" s="12">
        <v>5.0</v>
      </c>
      <c r="K329" s="12">
        <v>5.0</v>
      </c>
      <c r="L329" s="12">
        <v>3.0</v>
      </c>
      <c r="M329" s="12">
        <v>3.0</v>
      </c>
      <c r="N329" s="12">
        <v>3.0</v>
      </c>
      <c r="O329" s="12">
        <v>5.0</v>
      </c>
      <c r="P329" s="12">
        <v>9.0</v>
      </c>
    </row>
    <row r="330" ht="22.5" customHeight="1">
      <c r="A330" s="11">
        <v>46148.40007653935</v>
      </c>
      <c r="B330" s="12" t="s">
        <v>22</v>
      </c>
      <c r="C330" s="13">
        <v>46148.0</v>
      </c>
      <c r="D330" s="12" t="s">
        <v>29</v>
      </c>
      <c r="F330" s="12" t="s">
        <v>25</v>
      </c>
      <c r="G330" s="12" t="s">
        <v>69</v>
      </c>
      <c r="H330" s="12">
        <v>2.0</v>
      </c>
      <c r="I330" s="12">
        <v>3.0</v>
      </c>
      <c r="J330" s="12">
        <v>2.0</v>
      </c>
      <c r="K330" s="12">
        <v>3.0</v>
      </c>
      <c r="L330" s="12">
        <v>3.0</v>
      </c>
      <c r="M330" s="12">
        <v>2.0</v>
      </c>
      <c r="N330" s="12">
        <v>4.0</v>
      </c>
      <c r="O330" s="12">
        <v>2.0</v>
      </c>
      <c r="P330" s="12">
        <v>6.0</v>
      </c>
      <c r="Q330" s="12" t="s">
        <v>313</v>
      </c>
      <c r="R330" s="12" t="s">
        <v>314</v>
      </c>
      <c r="S330" s="14"/>
      <c r="T330" s="14"/>
      <c r="U330" s="14"/>
      <c r="V330" s="14"/>
    </row>
    <row r="331" ht="22.5" customHeight="1">
      <c r="A331" s="11">
        <v>46148.40057721065</v>
      </c>
      <c r="B331" s="12" t="s">
        <v>22</v>
      </c>
      <c r="C331" s="13" t="s">
        <v>307</v>
      </c>
      <c r="D331" s="12" t="s">
        <v>29</v>
      </c>
      <c r="E331" s="12">
        <v>1.0</v>
      </c>
      <c r="F331" s="12" t="s">
        <v>30</v>
      </c>
      <c r="G331" s="12" t="s">
        <v>26</v>
      </c>
      <c r="H331" s="12">
        <v>5.0</v>
      </c>
      <c r="I331" s="12">
        <v>5.0</v>
      </c>
      <c r="J331" s="12">
        <v>4.0</v>
      </c>
      <c r="K331" s="12">
        <v>4.0</v>
      </c>
      <c r="L331" s="12">
        <v>4.0</v>
      </c>
      <c r="M331" s="12">
        <v>4.0</v>
      </c>
      <c r="N331" s="12">
        <v>4.0</v>
      </c>
      <c r="O331" s="12">
        <v>4.0</v>
      </c>
      <c r="P331" s="12">
        <v>8.0</v>
      </c>
      <c r="Q331" s="12" t="s">
        <v>44</v>
      </c>
      <c r="R331" s="12" t="s">
        <v>315</v>
      </c>
      <c r="S331" s="14"/>
      <c r="T331" s="14"/>
      <c r="U331" s="14"/>
      <c r="V331" s="14"/>
    </row>
    <row r="332" ht="22.5" customHeight="1">
      <c r="A332" s="11">
        <v>46148.4008071875</v>
      </c>
      <c r="B332" s="12" t="s">
        <v>22</v>
      </c>
      <c r="C332" s="13">
        <v>46148.0</v>
      </c>
      <c r="D332" s="12" t="s">
        <v>29</v>
      </c>
      <c r="E332" s="12" t="s">
        <v>176</v>
      </c>
      <c r="F332" s="12" t="s">
        <v>30</v>
      </c>
      <c r="G332" s="12" t="s">
        <v>185</v>
      </c>
      <c r="H332" s="12">
        <v>4.0</v>
      </c>
      <c r="I332" s="12">
        <v>4.0</v>
      </c>
      <c r="J332" s="12">
        <v>4.0</v>
      </c>
      <c r="K332" s="12">
        <v>4.0</v>
      </c>
      <c r="L332" s="12">
        <v>4.0</v>
      </c>
      <c r="M332" s="12">
        <v>4.0</v>
      </c>
      <c r="N332" s="12">
        <v>4.0</v>
      </c>
      <c r="O332" s="12">
        <v>4.0</v>
      </c>
      <c r="P332" s="12">
        <v>7.0</v>
      </c>
    </row>
    <row r="333" ht="22.5" customHeight="1">
      <c r="A333" s="11">
        <v>46148.401760057866</v>
      </c>
      <c r="B333" s="12" t="s">
        <v>22</v>
      </c>
      <c r="C333" s="13">
        <v>46148.0</v>
      </c>
      <c r="D333" s="12" t="s">
        <v>29</v>
      </c>
      <c r="E333" s="12" t="s">
        <v>143</v>
      </c>
      <c r="F333" s="12" t="s">
        <v>25</v>
      </c>
      <c r="G333" s="12" t="s">
        <v>69</v>
      </c>
      <c r="H333" s="12">
        <v>5.0</v>
      </c>
      <c r="I333" s="12">
        <v>5.0</v>
      </c>
      <c r="J333" s="12">
        <v>5.0</v>
      </c>
      <c r="K333" s="12">
        <v>5.0</v>
      </c>
      <c r="L333" s="12">
        <v>5.0</v>
      </c>
      <c r="M333" s="12">
        <v>5.0</v>
      </c>
      <c r="N333" s="12">
        <v>5.0</v>
      </c>
      <c r="O333" s="12">
        <v>5.0</v>
      </c>
      <c r="P333" s="12">
        <v>10.0</v>
      </c>
    </row>
    <row r="334" ht="22.5" customHeight="1">
      <c r="A334" s="11">
        <v>46148.40203650463</v>
      </c>
      <c r="B334" s="12" t="s">
        <v>22</v>
      </c>
      <c r="C334" s="13">
        <v>46146.0</v>
      </c>
      <c r="D334" s="12" t="s">
        <v>29</v>
      </c>
      <c r="F334" s="12" t="s">
        <v>30</v>
      </c>
      <c r="G334" s="12" t="s">
        <v>43</v>
      </c>
      <c r="H334" s="12">
        <v>5.0</v>
      </c>
      <c r="I334" s="12">
        <v>5.0</v>
      </c>
      <c r="J334" s="12">
        <v>5.0</v>
      </c>
      <c r="K334" s="12">
        <v>5.0</v>
      </c>
      <c r="L334" s="12">
        <v>5.0</v>
      </c>
      <c r="M334" s="12">
        <v>5.0</v>
      </c>
      <c r="N334" s="12">
        <v>5.0</v>
      </c>
      <c r="O334" s="12">
        <v>5.0</v>
      </c>
      <c r="P334" s="12">
        <v>10.0</v>
      </c>
      <c r="Q334" s="12" t="s">
        <v>316</v>
      </c>
      <c r="R334" s="12" t="s">
        <v>66</v>
      </c>
      <c r="S334" s="14"/>
      <c r="T334" s="14"/>
      <c r="U334" s="14"/>
      <c r="V334" s="14"/>
    </row>
    <row r="335" ht="22.5" customHeight="1">
      <c r="A335" s="11">
        <v>46148.40299030092</v>
      </c>
      <c r="B335" s="12" t="s">
        <v>22</v>
      </c>
      <c r="C335" s="13">
        <v>46148.0</v>
      </c>
      <c r="D335" s="12" t="s">
        <v>29</v>
      </c>
      <c r="F335" s="12" t="s">
        <v>30</v>
      </c>
      <c r="G335" s="12" t="s">
        <v>26</v>
      </c>
      <c r="H335" s="12">
        <v>1.0</v>
      </c>
      <c r="I335" s="12">
        <v>1.0</v>
      </c>
      <c r="J335" s="12">
        <v>1.0</v>
      </c>
      <c r="K335" s="12">
        <v>1.0</v>
      </c>
      <c r="L335" s="12">
        <v>1.0</v>
      </c>
      <c r="M335" s="12">
        <v>1.0</v>
      </c>
      <c r="N335" s="12">
        <v>2.0</v>
      </c>
      <c r="P335" s="12">
        <v>3.0</v>
      </c>
      <c r="Q335" s="12" t="s">
        <v>317</v>
      </c>
      <c r="R335" s="12" t="s">
        <v>318</v>
      </c>
      <c r="S335" s="14"/>
      <c r="T335" s="14"/>
      <c r="U335" s="14"/>
      <c r="V335" s="14"/>
    </row>
    <row r="336" ht="22.5" customHeight="1">
      <c r="A336" s="11">
        <v>46148.40326760417</v>
      </c>
      <c r="B336" s="12" t="s">
        <v>22</v>
      </c>
      <c r="C336" s="13">
        <v>46148.0</v>
      </c>
      <c r="D336" s="12" t="s">
        <v>29</v>
      </c>
      <c r="F336" s="12" t="s">
        <v>25</v>
      </c>
      <c r="G336" s="12" t="s">
        <v>26</v>
      </c>
      <c r="H336" s="12">
        <v>4.0</v>
      </c>
      <c r="I336" s="12">
        <v>3.0</v>
      </c>
      <c r="J336" s="12">
        <v>2.0</v>
      </c>
      <c r="K336" s="12">
        <v>2.0</v>
      </c>
      <c r="L336" s="12">
        <v>4.0</v>
      </c>
      <c r="M336" s="12">
        <v>3.0</v>
      </c>
      <c r="N336" s="12">
        <v>3.0</v>
      </c>
      <c r="O336" s="12">
        <v>3.0</v>
      </c>
      <c r="P336" s="12">
        <v>5.0</v>
      </c>
    </row>
    <row r="337" ht="22.5" customHeight="1">
      <c r="A337" s="11">
        <v>46148.40341322917</v>
      </c>
      <c r="B337" s="12" t="s">
        <v>22</v>
      </c>
      <c r="C337" s="13">
        <v>46148.0</v>
      </c>
      <c r="D337" s="12" t="s">
        <v>29</v>
      </c>
      <c r="E337" s="12" t="s">
        <v>319</v>
      </c>
      <c r="F337" s="12" t="s">
        <v>25</v>
      </c>
      <c r="G337" s="12" t="s">
        <v>26</v>
      </c>
      <c r="H337" s="12">
        <v>5.0</v>
      </c>
      <c r="I337" s="12">
        <v>5.0</v>
      </c>
      <c r="J337" s="12">
        <v>5.0</v>
      </c>
      <c r="K337" s="12">
        <v>5.0</v>
      </c>
      <c r="L337" s="12">
        <v>5.0</v>
      </c>
      <c r="M337" s="12">
        <v>5.0</v>
      </c>
      <c r="N337" s="12">
        <v>5.0</v>
      </c>
      <c r="O337" s="12">
        <v>5.0</v>
      </c>
      <c r="P337" s="12">
        <v>10.0</v>
      </c>
    </row>
    <row r="338" ht="22.5" customHeight="1">
      <c r="A338" s="11">
        <v>46148.40345085648</v>
      </c>
      <c r="B338" s="12" t="s">
        <v>22</v>
      </c>
      <c r="C338" s="13">
        <v>46147.0</v>
      </c>
      <c r="D338" s="12" t="s">
        <v>29</v>
      </c>
      <c r="E338" s="12" t="s">
        <v>176</v>
      </c>
      <c r="F338" s="12" t="s">
        <v>25</v>
      </c>
      <c r="G338" s="12" t="s">
        <v>69</v>
      </c>
      <c r="H338" s="12">
        <v>4.0</v>
      </c>
      <c r="I338" s="12">
        <v>5.0</v>
      </c>
      <c r="J338" s="12">
        <v>4.0</v>
      </c>
      <c r="K338" s="12">
        <v>5.0</v>
      </c>
      <c r="L338" s="12">
        <v>5.0</v>
      </c>
      <c r="M338" s="12">
        <v>5.0</v>
      </c>
      <c r="N338" s="12">
        <v>5.0</v>
      </c>
      <c r="O338" s="12">
        <v>4.0</v>
      </c>
      <c r="P338" s="12">
        <v>9.0</v>
      </c>
    </row>
    <row r="339" ht="22.5" customHeight="1">
      <c r="A339" s="11">
        <v>46148.404303055555</v>
      </c>
      <c r="B339" s="12" t="s">
        <v>22</v>
      </c>
      <c r="C339" s="13">
        <v>46148.0</v>
      </c>
      <c r="D339" s="12" t="s">
        <v>29</v>
      </c>
      <c r="F339" s="12" t="s">
        <v>30</v>
      </c>
      <c r="G339" s="12" t="s">
        <v>43</v>
      </c>
      <c r="H339" s="12">
        <v>3.0</v>
      </c>
      <c r="I339" s="12">
        <v>3.0</v>
      </c>
      <c r="J339" s="12">
        <v>4.0</v>
      </c>
      <c r="K339" s="12">
        <v>3.0</v>
      </c>
      <c r="L339" s="12">
        <v>3.0</v>
      </c>
      <c r="M339" s="12">
        <v>3.0</v>
      </c>
      <c r="N339" s="12">
        <v>3.0</v>
      </c>
      <c r="O339" s="12">
        <v>3.0</v>
      </c>
      <c r="P339" s="12">
        <v>5.0</v>
      </c>
    </row>
    <row r="340" ht="22.5" customHeight="1">
      <c r="A340" s="11">
        <v>46148.40432018519</v>
      </c>
      <c r="B340" s="12" t="s">
        <v>22</v>
      </c>
      <c r="C340" s="13">
        <v>46148.0</v>
      </c>
      <c r="D340" s="12" t="s">
        <v>29</v>
      </c>
      <c r="F340" s="12" t="s">
        <v>30</v>
      </c>
      <c r="G340" s="12" t="s">
        <v>43</v>
      </c>
      <c r="H340" s="12">
        <v>3.0</v>
      </c>
      <c r="I340" s="12">
        <v>3.0</v>
      </c>
      <c r="J340" s="12">
        <v>4.0</v>
      </c>
      <c r="K340" s="12">
        <v>3.0</v>
      </c>
      <c r="L340" s="12">
        <v>3.0</v>
      </c>
      <c r="M340" s="12">
        <v>2.0</v>
      </c>
      <c r="N340" s="12">
        <v>2.0</v>
      </c>
      <c r="O340" s="12">
        <v>3.0</v>
      </c>
      <c r="P340" s="12">
        <v>5.0</v>
      </c>
    </row>
    <row r="341" ht="22.5" customHeight="1">
      <c r="A341" s="11">
        <v>46148.40519258102</v>
      </c>
      <c r="B341" s="12" t="s">
        <v>22</v>
      </c>
      <c r="C341" s="13">
        <v>46147.0</v>
      </c>
      <c r="D341" s="12" t="s">
        <v>29</v>
      </c>
      <c r="F341" s="12" t="s">
        <v>25</v>
      </c>
      <c r="G341" s="12" t="s">
        <v>69</v>
      </c>
      <c r="H341" s="12">
        <v>4.0</v>
      </c>
      <c r="I341" s="12">
        <v>5.0</v>
      </c>
      <c r="J341" s="12">
        <v>4.0</v>
      </c>
      <c r="K341" s="12">
        <v>4.0</v>
      </c>
      <c r="L341" s="12">
        <v>5.0</v>
      </c>
      <c r="M341" s="12">
        <v>5.0</v>
      </c>
      <c r="N341" s="12">
        <v>5.0</v>
      </c>
      <c r="O341" s="12">
        <v>5.0</v>
      </c>
      <c r="P341" s="12">
        <v>8.0</v>
      </c>
    </row>
    <row r="342" ht="22.5" customHeight="1">
      <c r="A342" s="11">
        <v>46148.40683571759</v>
      </c>
      <c r="B342" s="12" t="s">
        <v>22</v>
      </c>
      <c r="C342" s="13">
        <v>39064.0</v>
      </c>
      <c r="D342" s="12" t="s">
        <v>29</v>
      </c>
      <c r="F342" s="12" t="s">
        <v>30</v>
      </c>
      <c r="G342" s="12" t="s">
        <v>69</v>
      </c>
      <c r="H342" s="12">
        <v>5.0</v>
      </c>
      <c r="I342" s="12">
        <v>5.0</v>
      </c>
      <c r="J342" s="12">
        <v>5.0</v>
      </c>
      <c r="K342" s="12">
        <v>5.0</v>
      </c>
      <c r="L342" s="12">
        <v>5.0</v>
      </c>
      <c r="M342" s="12">
        <v>5.0</v>
      </c>
      <c r="N342" s="12">
        <v>5.0</v>
      </c>
      <c r="O342" s="12">
        <v>5.0</v>
      </c>
      <c r="P342" s="12">
        <v>8.0</v>
      </c>
    </row>
    <row r="343" ht="22.5" customHeight="1">
      <c r="A343" s="11">
        <v>46148.40760259259</v>
      </c>
      <c r="B343" s="12" t="s">
        <v>22</v>
      </c>
      <c r="C343" s="13">
        <v>46148.0</v>
      </c>
      <c r="D343" s="12" t="s">
        <v>29</v>
      </c>
      <c r="F343" s="12" t="s">
        <v>25</v>
      </c>
      <c r="G343" s="12" t="s">
        <v>26</v>
      </c>
      <c r="H343" s="12">
        <v>5.0</v>
      </c>
      <c r="I343" s="12">
        <v>4.0</v>
      </c>
      <c r="J343" s="12">
        <v>4.0</v>
      </c>
      <c r="K343" s="12">
        <v>5.0</v>
      </c>
      <c r="L343" s="12">
        <v>4.0</v>
      </c>
      <c r="M343" s="12">
        <v>4.0</v>
      </c>
      <c r="N343" s="12">
        <v>4.0</v>
      </c>
      <c r="O343" s="12">
        <v>4.0</v>
      </c>
      <c r="P343" s="12">
        <v>9.0</v>
      </c>
    </row>
    <row r="344" ht="22.5" customHeight="1">
      <c r="A344" s="11">
        <v>46148.40774778935</v>
      </c>
      <c r="B344" s="12" t="s">
        <v>22</v>
      </c>
      <c r="C344" s="13">
        <v>39251.0</v>
      </c>
      <c r="D344" s="12" t="s">
        <v>29</v>
      </c>
      <c r="F344" s="12" t="s">
        <v>25</v>
      </c>
      <c r="G344" s="12" t="s">
        <v>43</v>
      </c>
      <c r="H344" s="12">
        <v>5.0</v>
      </c>
      <c r="I344" s="12">
        <v>5.0</v>
      </c>
      <c r="J344" s="12">
        <v>5.0</v>
      </c>
      <c r="K344" s="12">
        <v>5.0</v>
      </c>
      <c r="L344" s="12">
        <v>5.0</v>
      </c>
      <c r="M344" s="12">
        <v>5.0</v>
      </c>
      <c r="N344" s="12">
        <v>5.0</v>
      </c>
      <c r="O344" s="12">
        <v>5.0</v>
      </c>
      <c r="P344" s="12">
        <v>8.0</v>
      </c>
    </row>
    <row r="345" ht="22.5" customHeight="1">
      <c r="A345" s="11">
        <v>46148.42966268519</v>
      </c>
      <c r="B345" s="12" t="s">
        <v>22</v>
      </c>
      <c r="C345" s="13">
        <v>46148.0</v>
      </c>
      <c r="D345" s="12" t="s">
        <v>29</v>
      </c>
      <c r="F345" s="12" t="s">
        <v>30</v>
      </c>
      <c r="G345" s="12" t="s">
        <v>26</v>
      </c>
      <c r="H345" s="12">
        <v>4.0</v>
      </c>
      <c r="I345" s="12">
        <v>4.0</v>
      </c>
      <c r="J345" s="12">
        <v>4.0</v>
      </c>
      <c r="K345" s="12">
        <v>4.0</v>
      </c>
      <c r="L345" s="12">
        <v>4.0</v>
      </c>
      <c r="M345" s="12">
        <v>4.0</v>
      </c>
      <c r="N345" s="12">
        <v>4.0</v>
      </c>
      <c r="O345" s="12">
        <v>4.0</v>
      </c>
      <c r="P345" s="12">
        <v>8.0</v>
      </c>
      <c r="Q345" s="12" t="s">
        <v>147</v>
      </c>
      <c r="R345" s="12" t="s">
        <v>38</v>
      </c>
      <c r="S345" s="14"/>
      <c r="T345" s="14"/>
      <c r="U345" s="14"/>
      <c r="V345" s="14"/>
    </row>
    <row r="346" ht="22.5" customHeight="1">
      <c r="A346" s="11">
        <v>46148.43795245371</v>
      </c>
      <c r="B346" s="12" t="s">
        <v>22</v>
      </c>
      <c r="C346" s="13">
        <v>46148.0</v>
      </c>
      <c r="D346" s="12" t="s">
        <v>29</v>
      </c>
      <c r="F346" s="12" t="s">
        <v>30</v>
      </c>
      <c r="G346" s="12" t="s">
        <v>26</v>
      </c>
      <c r="H346" s="12">
        <v>2.0</v>
      </c>
      <c r="I346" s="12">
        <v>2.0</v>
      </c>
      <c r="J346" s="12">
        <v>4.0</v>
      </c>
      <c r="K346" s="12">
        <v>2.0</v>
      </c>
      <c r="L346" s="12">
        <v>1.0</v>
      </c>
      <c r="M346" s="12">
        <v>2.0</v>
      </c>
      <c r="N346" s="12">
        <v>2.0</v>
      </c>
      <c r="O346" s="12">
        <v>2.0</v>
      </c>
      <c r="P346" s="12">
        <v>2.0</v>
      </c>
    </row>
    <row r="347" ht="22.5" customHeight="1">
      <c r="A347" s="11">
        <v>46148.4461557176</v>
      </c>
      <c r="B347" s="12" t="s">
        <v>22</v>
      </c>
      <c r="C347" s="13">
        <v>46148.0</v>
      </c>
      <c r="D347" s="12" t="s">
        <v>29</v>
      </c>
      <c r="F347" s="12" t="s">
        <v>25</v>
      </c>
      <c r="G347" s="12" t="s">
        <v>26</v>
      </c>
      <c r="H347" s="12">
        <v>3.0</v>
      </c>
      <c r="I347" s="12">
        <v>4.0</v>
      </c>
      <c r="J347" s="12">
        <v>4.0</v>
      </c>
      <c r="K347" s="12">
        <v>4.0</v>
      </c>
      <c r="L347" s="12">
        <v>4.0</v>
      </c>
      <c r="M347" s="12">
        <v>5.0</v>
      </c>
      <c r="N347" s="12">
        <v>4.0</v>
      </c>
      <c r="O347" s="12">
        <v>4.0</v>
      </c>
      <c r="P347" s="12">
        <v>9.0</v>
      </c>
    </row>
    <row r="348" ht="22.5" customHeight="1">
      <c r="A348" s="11">
        <v>46148.51393277777</v>
      </c>
      <c r="B348" s="12" t="s">
        <v>22</v>
      </c>
      <c r="C348" s="13">
        <v>39134.0</v>
      </c>
      <c r="D348" s="12" t="s">
        <v>29</v>
      </c>
      <c r="E348" s="12" t="s">
        <v>104</v>
      </c>
      <c r="F348" s="12" t="s">
        <v>30</v>
      </c>
      <c r="G348" s="12" t="s">
        <v>43</v>
      </c>
      <c r="H348" s="12">
        <v>3.0</v>
      </c>
      <c r="I348" s="12">
        <v>3.0</v>
      </c>
      <c r="J348" s="12">
        <v>3.0</v>
      </c>
      <c r="K348" s="12">
        <v>3.0</v>
      </c>
      <c r="L348" s="12">
        <v>3.0</v>
      </c>
      <c r="M348" s="12">
        <v>3.0</v>
      </c>
      <c r="N348" s="12">
        <v>2.0</v>
      </c>
      <c r="O348" s="12">
        <v>2.0</v>
      </c>
      <c r="P348" s="12">
        <v>3.0</v>
      </c>
      <c r="Q348" s="12" t="s">
        <v>320</v>
      </c>
      <c r="R348" s="12" t="s">
        <v>321</v>
      </c>
      <c r="S348" s="14"/>
      <c r="T348" s="14"/>
      <c r="U348" s="14"/>
      <c r="V348" s="14"/>
    </row>
    <row r="349" ht="22.5" customHeight="1">
      <c r="A349" s="11">
        <v>46148.7098153125</v>
      </c>
      <c r="B349" s="12" t="s">
        <v>22</v>
      </c>
      <c r="C349" s="13">
        <v>46148.0</v>
      </c>
      <c r="D349" s="12" t="s">
        <v>29</v>
      </c>
      <c r="F349" s="12" t="s">
        <v>30</v>
      </c>
      <c r="G349" s="12" t="s">
        <v>69</v>
      </c>
      <c r="H349" s="12">
        <v>4.0</v>
      </c>
      <c r="I349" s="12">
        <v>4.0</v>
      </c>
      <c r="J349" s="12">
        <v>4.0</v>
      </c>
      <c r="K349" s="12">
        <v>3.0</v>
      </c>
      <c r="L349" s="12">
        <v>3.0</v>
      </c>
      <c r="M349" s="12">
        <v>5.0</v>
      </c>
      <c r="N349" s="12">
        <v>5.0</v>
      </c>
      <c r="O349" s="12">
        <v>5.0</v>
      </c>
      <c r="P349" s="12">
        <v>8.0</v>
      </c>
    </row>
    <row r="350" ht="22.5" customHeight="1">
      <c r="A350" s="11">
        <v>46148.7100709375</v>
      </c>
      <c r="B350" s="12" t="s">
        <v>22</v>
      </c>
      <c r="C350" s="13">
        <v>46148.0</v>
      </c>
      <c r="D350" s="12" t="s">
        <v>29</v>
      </c>
      <c r="F350" s="12" t="s">
        <v>30</v>
      </c>
      <c r="G350" s="12" t="s">
        <v>69</v>
      </c>
      <c r="H350" s="12">
        <v>5.0</v>
      </c>
      <c r="I350" s="12">
        <v>5.0</v>
      </c>
      <c r="J350" s="12">
        <v>5.0</v>
      </c>
      <c r="K350" s="12">
        <v>4.0</v>
      </c>
      <c r="L350" s="12">
        <v>5.0</v>
      </c>
      <c r="M350" s="12">
        <v>5.0</v>
      </c>
      <c r="N350" s="12">
        <v>4.0</v>
      </c>
      <c r="O350" s="12">
        <v>4.0</v>
      </c>
      <c r="P350" s="12">
        <v>9.0</v>
      </c>
    </row>
    <row r="351" ht="22.5" customHeight="1">
      <c r="A351" s="11">
        <v>46148.862653020835</v>
      </c>
      <c r="B351" s="12" t="s">
        <v>22</v>
      </c>
      <c r="C351" s="13">
        <v>46148.0</v>
      </c>
      <c r="D351" s="12" t="s">
        <v>29</v>
      </c>
      <c r="F351" s="12" t="s">
        <v>30</v>
      </c>
      <c r="G351" s="12" t="s">
        <v>185</v>
      </c>
      <c r="H351" s="12">
        <v>5.0</v>
      </c>
      <c r="I351" s="12">
        <v>5.0</v>
      </c>
      <c r="J351" s="12">
        <v>5.0</v>
      </c>
      <c r="K351" s="12">
        <v>5.0</v>
      </c>
      <c r="L351" s="12">
        <v>5.0</v>
      </c>
      <c r="M351" s="12">
        <v>5.0</v>
      </c>
      <c r="N351" s="12">
        <v>5.0</v>
      </c>
      <c r="O351" s="12">
        <v>5.0</v>
      </c>
      <c r="P351" s="12">
        <v>10.0</v>
      </c>
      <c r="Q351" s="12" t="s">
        <v>322</v>
      </c>
      <c r="R351" s="12" t="s">
        <v>323</v>
      </c>
      <c r="S351" s="14"/>
      <c r="T351" s="14"/>
      <c r="U351" s="14"/>
      <c r="V351" s="14"/>
    </row>
    <row r="352" ht="22.5" customHeight="1">
      <c r="A352" s="11">
        <v>46149.701251817125</v>
      </c>
      <c r="B352" s="12" t="s">
        <v>22</v>
      </c>
      <c r="C352" s="13">
        <v>46147.0</v>
      </c>
      <c r="D352" s="12" t="s">
        <v>29</v>
      </c>
      <c r="E352" s="12" t="s">
        <v>41</v>
      </c>
      <c r="F352" s="12" t="s">
        <v>25</v>
      </c>
      <c r="G352" s="12" t="s">
        <v>26</v>
      </c>
      <c r="H352" s="12">
        <v>5.0</v>
      </c>
      <c r="I352" s="12">
        <v>5.0</v>
      </c>
      <c r="J352" s="12">
        <v>5.0</v>
      </c>
      <c r="K352" s="12">
        <v>5.0</v>
      </c>
      <c r="L352" s="12">
        <v>5.0</v>
      </c>
      <c r="M352" s="12">
        <v>5.0</v>
      </c>
      <c r="N352" s="12">
        <v>5.0</v>
      </c>
      <c r="O352" s="12">
        <v>5.0</v>
      </c>
      <c r="P352" s="12">
        <v>5.0</v>
      </c>
    </row>
    <row r="353" ht="22.5" customHeight="1">
      <c r="A353" s="11">
        <v>46149.71463585648</v>
      </c>
      <c r="B353" s="12" t="s">
        <v>22</v>
      </c>
      <c r="C353" s="13">
        <v>46146.0</v>
      </c>
      <c r="D353" s="12" t="s">
        <v>29</v>
      </c>
      <c r="E353" s="12" t="s">
        <v>100</v>
      </c>
      <c r="F353" s="12" t="s">
        <v>30</v>
      </c>
      <c r="G353" s="12" t="s">
        <v>324</v>
      </c>
      <c r="H353" s="12">
        <v>5.0</v>
      </c>
      <c r="I353" s="12">
        <v>5.0</v>
      </c>
      <c r="J353" s="12">
        <v>5.0</v>
      </c>
      <c r="K353" s="12">
        <v>5.0</v>
      </c>
      <c r="L353" s="12">
        <v>5.0</v>
      </c>
      <c r="M353" s="12">
        <v>5.0</v>
      </c>
      <c r="N353" s="12">
        <v>5.0</v>
      </c>
      <c r="O353" s="12">
        <v>5.0</v>
      </c>
      <c r="P353" s="12">
        <v>10.0</v>
      </c>
    </row>
    <row r="354" ht="22.5" customHeight="1">
      <c r="A354" s="11">
        <v>46149.71828753472</v>
      </c>
      <c r="B354" s="12" t="s">
        <v>22</v>
      </c>
      <c r="C354" s="13">
        <v>46149.0</v>
      </c>
      <c r="D354" s="12" t="s">
        <v>29</v>
      </c>
      <c r="F354" s="12" t="s">
        <v>68</v>
      </c>
      <c r="G354" s="12" t="s">
        <v>325</v>
      </c>
      <c r="H354" s="12">
        <v>5.0</v>
      </c>
      <c r="I354" s="12">
        <v>5.0</v>
      </c>
      <c r="J354" s="12">
        <v>5.0</v>
      </c>
      <c r="K354" s="12">
        <v>5.0</v>
      </c>
      <c r="L354" s="12">
        <v>5.0</v>
      </c>
      <c r="M354" s="12">
        <v>5.0</v>
      </c>
      <c r="N354" s="12">
        <v>5.0</v>
      </c>
      <c r="O354" s="12">
        <v>5.0</v>
      </c>
      <c r="P354" s="12">
        <v>10.0</v>
      </c>
      <c r="Q354" s="12" t="s">
        <v>326</v>
      </c>
    </row>
    <row r="355" ht="22.5" customHeight="1">
      <c r="A355" s="11">
        <v>46149.7477569676</v>
      </c>
      <c r="B355" s="12" t="s">
        <v>22</v>
      </c>
      <c r="C355" s="13">
        <v>46149.0</v>
      </c>
      <c r="D355" s="12" t="s">
        <v>29</v>
      </c>
      <c r="E355" s="12" t="s">
        <v>197</v>
      </c>
      <c r="F355" s="12" t="s">
        <v>30</v>
      </c>
      <c r="G355" s="12" t="s">
        <v>69</v>
      </c>
      <c r="H355" s="12">
        <v>5.0</v>
      </c>
      <c r="I355" s="12">
        <v>5.0</v>
      </c>
      <c r="J355" s="12">
        <v>5.0</v>
      </c>
      <c r="K355" s="12">
        <v>5.0</v>
      </c>
      <c r="L355" s="12">
        <v>5.0</v>
      </c>
      <c r="M355" s="12">
        <v>5.0</v>
      </c>
      <c r="N355" s="12">
        <v>5.0</v>
      </c>
      <c r="O355" s="12">
        <v>5.0</v>
      </c>
      <c r="P355" s="12">
        <v>10.0</v>
      </c>
    </row>
    <row r="356" ht="22.5" customHeight="1">
      <c r="A356" s="11">
        <v>46149.822005752314</v>
      </c>
      <c r="B356" s="12" t="s">
        <v>22</v>
      </c>
      <c r="C356" s="13">
        <v>46149.0</v>
      </c>
      <c r="D356" s="12" t="s">
        <v>29</v>
      </c>
      <c r="E356" s="12" t="s">
        <v>104</v>
      </c>
      <c r="F356" s="12" t="s">
        <v>30</v>
      </c>
      <c r="G356" s="12" t="s">
        <v>327</v>
      </c>
      <c r="H356" s="12">
        <v>5.0</v>
      </c>
      <c r="I356" s="12">
        <v>5.0</v>
      </c>
      <c r="J356" s="12">
        <v>5.0</v>
      </c>
      <c r="K356" s="12">
        <v>5.0</v>
      </c>
      <c r="L356" s="12">
        <v>5.0</v>
      </c>
      <c r="M356" s="12">
        <v>5.0</v>
      </c>
      <c r="N356" s="12">
        <v>5.0</v>
      </c>
      <c r="O356" s="12">
        <v>5.0</v>
      </c>
      <c r="P356" s="12">
        <v>10.0</v>
      </c>
      <c r="Q356" s="12" t="s">
        <v>71</v>
      </c>
      <c r="R356" s="12" t="s">
        <v>71</v>
      </c>
      <c r="S356" s="14"/>
      <c r="T356" s="14"/>
      <c r="U356" s="14"/>
      <c r="V356" s="14"/>
    </row>
    <row r="357" ht="22.5" customHeight="1">
      <c r="A357" s="11">
        <v>46150.55779289352</v>
      </c>
      <c r="B357" s="12" t="s">
        <v>22</v>
      </c>
      <c r="C357" s="13">
        <v>46150.0</v>
      </c>
      <c r="D357" s="12" t="s">
        <v>29</v>
      </c>
      <c r="F357" s="12" t="s">
        <v>30</v>
      </c>
      <c r="G357" s="12" t="s">
        <v>43</v>
      </c>
      <c r="H357" s="12">
        <v>4.0</v>
      </c>
      <c r="I357" s="12">
        <v>4.0</v>
      </c>
      <c r="J357" s="12">
        <v>4.0</v>
      </c>
      <c r="K357" s="12">
        <v>5.0</v>
      </c>
      <c r="L357" s="12">
        <v>4.0</v>
      </c>
      <c r="M357" s="12">
        <v>4.0</v>
      </c>
      <c r="N357" s="12">
        <v>4.0</v>
      </c>
      <c r="O357" s="12">
        <v>5.0</v>
      </c>
      <c r="P357" s="12">
        <v>10.0</v>
      </c>
      <c r="Q357" s="12" t="s">
        <v>328</v>
      </c>
      <c r="R357" s="12" t="s">
        <v>66</v>
      </c>
      <c r="S357" s="14"/>
      <c r="T357" s="14"/>
      <c r="U357" s="14"/>
      <c r="V357" s="14"/>
    </row>
    <row r="358" ht="22.5" customHeight="1">
      <c r="A358" s="11">
        <v>46150.6369634838</v>
      </c>
      <c r="B358" s="12" t="s">
        <v>22</v>
      </c>
      <c r="C358" s="13">
        <v>46151.0</v>
      </c>
      <c r="D358" s="12" t="s">
        <v>29</v>
      </c>
      <c r="F358" s="12" t="s">
        <v>30</v>
      </c>
      <c r="G358" s="12" t="s">
        <v>69</v>
      </c>
      <c r="H358" s="12">
        <v>4.0</v>
      </c>
      <c r="I358" s="12">
        <v>5.0</v>
      </c>
      <c r="J358" s="12">
        <v>4.0</v>
      </c>
      <c r="K358" s="12">
        <v>4.0</v>
      </c>
      <c r="L358" s="12">
        <v>5.0</v>
      </c>
      <c r="M358" s="12">
        <v>5.0</v>
      </c>
      <c r="N358" s="12">
        <v>5.0</v>
      </c>
      <c r="O358" s="12">
        <v>4.0</v>
      </c>
      <c r="P358" s="12">
        <v>10.0</v>
      </c>
    </row>
    <row r="359" ht="22.5" customHeight="1">
      <c r="A359" s="11">
        <v>46151.34146962963</v>
      </c>
      <c r="B359" s="12" t="s">
        <v>22</v>
      </c>
      <c r="C359" s="13">
        <v>46141.0</v>
      </c>
      <c r="D359" s="12" t="s">
        <v>29</v>
      </c>
      <c r="E359" s="12" t="s">
        <v>88</v>
      </c>
      <c r="F359" s="12" t="s">
        <v>25</v>
      </c>
      <c r="G359" s="12" t="s">
        <v>69</v>
      </c>
      <c r="H359" s="12">
        <v>3.0</v>
      </c>
      <c r="I359" s="12">
        <v>4.0</v>
      </c>
      <c r="J359" s="12">
        <v>3.0</v>
      </c>
      <c r="K359" s="12">
        <v>3.0</v>
      </c>
      <c r="L359" s="12">
        <v>3.0</v>
      </c>
      <c r="M359" s="12">
        <v>4.0</v>
      </c>
      <c r="N359" s="12">
        <v>4.0</v>
      </c>
      <c r="O359" s="12">
        <v>4.0</v>
      </c>
      <c r="P359" s="12">
        <v>10.0</v>
      </c>
      <c r="Q359" s="12" t="s">
        <v>329</v>
      </c>
      <c r="R359" s="12" t="s">
        <v>330</v>
      </c>
      <c r="S359" s="14"/>
      <c r="T359" s="14"/>
      <c r="U359" s="14"/>
      <c r="V359" s="14"/>
    </row>
    <row r="360" ht="22.5" customHeight="1">
      <c r="A360" s="11">
        <v>46151.37593490741</v>
      </c>
      <c r="B360" s="12" t="s">
        <v>22</v>
      </c>
      <c r="C360" s="13">
        <v>46151.0</v>
      </c>
      <c r="D360" s="12" t="s">
        <v>29</v>
      </c>
      <c r="F360" s="12" t="s">
        <v>30</v>
      </c>
      <c r="G360" s="12" t="s">
        <v>43</v>
      </c>
      <c r="H360" s="12">
        <v>3.0</v>
      </c>
      <c r="I360" s="12">
        <v>3.0</v>
      </c>
      <c r="J360" s="12">
        <v>4.0</v>
      </c>
      <c r="K360" s="12">
        <v>3.0</v>
      </c>
      <c r="L360" s="12">
        <v>4.0</v>
      </c>
      <c r="M360" s="12">
        <v>5.0</v>
      </c>
      <c r="N360" s="12">
        <v>2.0</v>
      </c>
      <c r="O360" s="12">
        <v>3.0</v>
      </c>
      <c r="P360" s="12">
        <v>4.0</v>
      </c>
      <c r="Q360" s="12" t="s">
        <v>206</v>
      </c>
      <c r="R360" s="12" t="s">
        <v>41</v>
      </c>
      <c r="S360" s="14"/>
      <c r="T360" s="14"/>
      <c r="U360" s="14"/>
      <c r="V360" s="14"/>
    </row>
    <row r="361" ht="22.5" customHeight="1">
      <c r="A361" s="11">
        <v>46151.37819938657</v>
      </c>
      <c r="B361" s="12" t="s">
        <v>22</v>
      </c>
      <c r="C361" s="13">
        <v>46151.0</v>
      </c>
      <c r="D361" s="12" t="s">
        <v>29</v>
      </c>
      <c r="E361" s="12" t="s">
        <v>104</v>
      </c>
      <c r="F361" s="12" t="s">
        <v>30</v>
      </c>
      <c r="G361" s="12" t="s">
        <v>331</v>
      </c>
      <c r="H361" s="12">
        <v>5.0</v>
      </c>
      <c r="I361" s="12">
        <v>5.0</v>
      </c>
      <c r="J361" s="12">
        <v>5.0</v>
      </c>
      <c r="K361" s="12">
        <v>5.0</v>
      </c>
      <c r="L361" s="12">
        <v>5.0</v>
      </c>
      <c r="M361" s="12">
        <v>5.0</v>
      </c>
      <c r="N361" s="12">
        <v>5.0</v>
      </c>
      <c r="O361" s="12">
        <v>5.0</v>
      </c>
      <c r="P361" s="12">
        <v>10.0</v>
      </c>
      <c r="Q361" s="12" t="s">
        <v>38</v>
      </c>
      <c r="R361" s="12" t="s">
        <v>38</v>
      </c>
      <c r="S361" s="14"/>
      <c r="T361" s="14"/>
      <c r="U361" s="14"/>
      <c r="V361" s="14"/>
    </row>
    <row r="362" ht="22.5" customHeight="1">
      <c r="A362" s="11">
        <v>46151.38255383102</v>
      </c>
      <c r="B362" s="12" t="s">
        <v>22</v>
      </c>
      <c r="C362" s="13">
        <v>46146.0</v>
      </c>
      <c r="D362" s="12" t="s">
        <v>29</v>
      </c>
      <c r="F362" s="12" t="s">
        <v>30</v>
      </c>
      <c r="G362" s="12" t="s">
        <v>332</v>
      </c>
      <c r="H362" s="12">
        <v>5.0</v>
      </c>
      <c r="I362" s="12">
        <v>4.0</v>
      </c>
      <c r="J362" s="12">
        <v>5.0</v>
      </c>
      <c r="K362" s="12">
        <v>4.0</v>
      </c>
      <c r="L362" s="12">
        <v>4.0</v>
      </c>
      <c r="M362" s="12">
        <v>4.0</v>
      </c>
      <c r="N362" s="12">
        <v>4.0</v>
      </c>
      <c r="O362" s="12">
        <v>4.0</v>
      </c>
      <c r="P362" s="12">
        <v>9.0</v>
      </c>
    </row>
    <row r="363" ht="22.5" customHeight="1">
      <c r="A363" s="11">
        <v>46152.94439181713</v>
      </c>
      <c r="B363" s="12" t="s">
        <v>22</v>
      </c>
      <c r="C363" s="13">
        <v>46152.0</v>
      </c>
      <c r="D363" s="12" t="s">
        <v>29</v>
      </c>
      <c r="F363" s="12" t="s">
        <v>30</v>
      </c>
      <c r="G363" s="12" t="s">
        <v>43</v>
      </c>
      <c r="H363" s="12">
        <v>3.0</v>
      </c>
      <c r="I363" s="12">
        <v>3.0</v>
      </c>
      <c r="J363" s="12">
        <v>3.0</v>
      </c>
      <c r="K363" s="12">
        <v>4.0</v>
      </c>
      <c r="L363" s="12">
        <v>4.0</v>
      </c>
      <c r="M363" s="12">
        <v>4.0</v>
      </c>
      <c r="N363" s="12">
        <v>3.0</v>
      </c>
      <c r="O363" s="12">
        <v>4.0</v>
      </c>
      <c r="P363" s="12">
        <v>7.0</v>
      </c>
    </row>
    <row r="364" ht="22.5" customHeight="1">
      <c r="A364" s="11">
        <v>46153.48606819444</v>
      </c>
      <c r="B364" s="12" t="s">
        <v>22</v>
      </c>
      <c r="C364" s="13">
        <v>46115.0</v>
      </c>
      <c r="D364" s="12" t="s">
        <v>29</v>
      </c>
      <c r="E364" s="12">
        <v>26.0</v>
      </c>
      <c r="F364" s="12" t="s">
        <v>25</v>
      </c>
      <c r="G364" s="12" t="s">
        <v>26</v>
      </c>
      <c r="H364" s="12">
        <v>5.0</v>
      </c>
      <c r="I364" s="12">
        <v>5.0</v>
      </c>
      <c r="J364" s="12">
        <v>5.0</v>
      </c>
      <c r="K364" s="12">
        <v>5.0</v>
      </c>
      <c r="L364" s="12">
        <v>5.0</v>
      </c>
      <c r="M364" s="12">
        <v>5.0</v>
      </c>
      <c r="N364" s="12">
        <v>5.0</v>
      </c>
      <c r="O364" s="12">
        <v>5.0</v>
      </c>
      <c r="P364" s="12">
        <v>10.0</v>
      </c>
    </row>
    <row r="365" ht="22.5" customHeight="1">
      <c r="A365" s="11">
        <v>46163.46923693287</v>
      </c>
      <c r="B365" s="12" t="s">
        <v>22</v>
      </c>
      <c r="C365" s="13">
        <v>46163.0</v>
      </c>
      <c r="D365" s="12" t="s">
        <v>29</v>
      </c>
      <c r="F365" s="12" t="s">
        <v>25</v>
      </c>
      <c r="G365" s="12" t="s">
        <v>43</v>
      </c>
      <c r="H365" s="12">
        <v>5.0</v>
      </c>
      <c r="I365" s="12">
        <v>5.0</v>
      </c>
      <c r="J365" s="12">
        <v>5.0</v>
      </c>
      <c r="K365" s="12">
        <v>5.0</v>
      </c>
      <c r="L365" s="12">
        <v>5.0</v>
      </c>
      <c r="M365" s="12">
        <v>5.0</v>
      </c>
      <c r="N365" s="12">
        <v>5.0</v>
      </c>
      <c r="O365" s="12">
        <v>5.0</v>
      </c>
      <c r="P365" s="12">
        <v>10.0</v>
      </c>
    </row>
    <row r="366" ht="22.5" customHeight="1">
      <c r="A366" s="11">
        <v>46168.3857665625</v>
      </c>
      <c r="B366" s="12" t="s">
        <v>22</v>
      </c>
      <c r="C366" s="13">
        <v>46168.0</v>
      </c>
      <c r="D366" s="12" t="s">
        <v>29</v>
      </c>
      <c r="E366" s="12" t="s">
        <v>333</v>
      </c>
      <c r="F366" s="12" t="s">
        <v>30</v>
      </c>
      <c r="G366" s="12" t="s">
        <v>26</v>
      </c>
      <c r="H366" s="12">
        <v>5.0</v>
      </c>
      <c r="I366" s="12">
        <v>5.0</v>
      </c>
      <c r="J366" s="12">
        <v>5.0</v>
      </c>
      <c r="K366" s="12">
        <v>5.0</v>
      </c>
      <c r="L366" s="12">
        <v>5.0</v>
      </c>
      <c r="M366" s="12">
        <v>4.0</v>
      </c>
      <c r="N366" s="12">
        <v>3.0</v>
      </c>
      <c r="O366" s="12">
        <v>4.0</v>
      </c>
      <c r="P366" s="12">
        <v>7.0</v>
      </c>
    </row>
    <row r="367" ht="22.5" customHeight="1">
      <c r="A367" s="11">
        <v>46170.58151230324</v>
      </c>
      <c r="B367" s="12" t="s">
        <v>22</v>
      </c>
      <c r="C367" s="13">
        <v>46170.0</v>
      </c>
      <c r="D367" s="12" t="s">
        <v>35</v>
      </c>
      <c r="F367" s="12" t="s">
        <v>30</v>
      </c>
      <c r="G367" s="12" t="s">
        <v>26</v>
      </c>
      <c r="H367" s="12">
        <v>5.0</v>
      </c>
      <c r="I367" s="12">
        <v>5.0</v>
      </c>
      <c r="J367" s="12">
        <v>5.0</v>
      </c>
      <c r="K367" s="12">
        <v>5.0</v>
      </c>
      <c r="L367" s="12">
        <v>5.0</v>
      </c>
      <c r="M367" s="12">
        <v>5.0</v>
      </c>
      <c r="N367" s="12">
        <v>5.0</v>
      </c>
      <c r="O367" s="12">
        <v>5.0</v>
      </c>
      <c r="P367" s="12">
        <v>9.0</v>
      </c>
      <c r="Q367" s="12" t="s">
        <v>44</v>
      </c>
      <c r="R367" s="12" t="s">
        <v>334</v>
      </c>
      <c r="S367" s="14"/>
      <c r="T367" s="14"/>
      <c r="U367" s="14"/>
      <c r="V367" s="14"/>
    </row>
    <row r="368" ht="22.5" customHeight="1">
      <c r="A368" s="11">
        <v>46172.37358493055</v>
      </c>
      <c r="B368" s="12" t="s">
        <v>22</v>
      </c>
      <c r="C368" s="13">
        <v>46171.0</v>
      </c>
      <c r="D368" s="12" t="s">
        <v>29</v>
      </c>
      <c r="E368" s="12" t="s">
        <v>46</v>
      </c>
      <c r="F368" s="12" t="s">
        <v>25</v>
      </c>
      <c r="G368" s="12" t="s">
        <v>185</v>
      </c>
      <c r="H368" s="12">
        <v>4.0</v>
      </c>
      <c r="I368" s="12">
        <v>4.0</v>
      </c>
      <c r="J368" s="12">
        <v>5.0</v>
      </c>
      <c r="K368" s="12">
        <v>3.0</v>
      </c>
      <c r="L368" s="12">
        <v>4.0</v>
      </c>
      <c r="M368" s="12">
        <v>5.0</v>
      </c>
      <c r="N368" s="12">
        <v>4.0</v>
      </c>
      <c r="O368" s="12">
        <v>5.0</v>
      </c>
      <c r="P368" s="12">
        <v>10.0</v>
      </c>
      <c r="Q368" s="12" t="s">
        <v>71</v>
      </c>
      <c r="R368" s="12" t="s">
        <v>71</v>
      </c>
      <c r="S368" s="14"/>
      <c r="T368" s="14"/>
      <c r="U368" s="14"/>
      <c r="V368" s="14"/>
    </row>
    <row r="369" ht="22.5" customHeight="1">
      <c r="A369" s="11">
        <v>46177.40548006944</v>
      </c>
      <c r="B369" s="12" t="s">
        <v>22</v>
      </c>
      <c r="C369" s="13">
        <v>46177.0</v>
      </c>
      <c r="D369" s="12" t="s">
        <v>29</v>
      </c>
      <c r="F369" s="12" t="s">
        <v>30</v>
      </c>
      <c r="G369" s="12" t="s">
        <v>26</v>
      </c>
      <c r="H369" s="12">
        <v>5.0</v>
      </c>
      <c r="I369" s="12">
        <v>5.0</v>
      </c>
      <c r="J369" s="12">
        <v>5.0</v>
      </c>
      <c r="K369" s="12">
        <v>5.0</v>
      </c>
      <c r="L369" s="12">
        <v>4.0</v>
      </c>
      <c r="M369" s="12">
        <v>5.0</v>
      </c>
      <c r="N369" s="12">
        <v>5.0</v>
      </c>
      <c r="O369" s="12">
        <v>5.0</v>
      </c>
      <c r="P369" s="12">
        <v>10.0</v>
      </c>
      <c r="Q369" s="12" t="s">
        <v>335</v>
      </c>
      <c r="R369" s="12" t="s">
        <v>38</v>
      </c>
      <c r="S369" s="14"/>
      <c r="T369" s="14"/>
      <c r="U369" s="14"/>
      <c r="V369" s="14"/>
    </row>
    <row r="370" ht="22.5" customHeight="1">
      <c r="A370" s="11">
        <v>46183.29620208334</v>
      </c>
      <c r="B370" s="12" t="s">
        <v>22</v>
      </c>
      <c r="C370" s="13">
        <v>46183.0</v>
      </c>
      <c r="D370" s="12" t="s">
        <v>29</v>
      </c>
      <c r="E370" s="12" t="s">
        <v>267</v>
      </c>
      <c r="F370" s="12" t="s">
        <v>30</v>
      </c>
      <c r="G370" s="12" t="s">
        <v>185</v>
      </c>
      <c r="H370" s="12">
        <v>3.0</v>
      </c>
      <c r="I370" s="12">
        <v>4.0</v>
      </c>
      <c r="J370" s="12">
        <v>3.0</v>
      </c>
      <c r="K370" s="12">
        <v>3.0</v>
      </c>
      <c r="L370" s="12">
        <v>5.0</v>
      </c>
      <c r="M370" s="12">
        <v>5.0</v>
      </c>
      <c r="N370" s="12">
        <v>3.0</v>
      </c>
      <c r="O370" s="12">
        <v>3.0</v>
      </c>
      <c r="P370" s="12">
        <v>4.0</v>
      </c>
      <c r="Q370" s="12" t="s">
        <v>41</v>
      </c>
      <c r="R370" s="12" t="s">
        <v>41</v>
      </c>
      <c r="S370" s="14"/>
      <c r="T370" s="14"/>
      <c r="U370" s="14"/>
      <c r="V370" s="14"/>
    </row>
    <row r="371" ht="22.5" customHeight="1">
      <c r="A371" s="11">
        <v>46186.55344886574</v>
      </c>
      <c r="B371" s="12" t="s">
        <v>22</v>
      </c>
      <c r="C371" s="13">
        <v>46186.0</v>
      </c>
      <c r="D371" s="12" t="s">
        <v>29</v>
      </c>
      <c r="F371" s="12" t="s">
        <v>30</v>
      </c>
      <c r="G371" s="12" t="s">
        <v>69</v>
      </c>
      <c r="H371" s="12">
        <v>5.0</v>
      </c>
      <c r="I371" s="12">
        <v>5.0</v>
      </c>
      <c r="J371" s="12">
        <v>4.0</v>
      </c>
      <c r="K371" s="12">
        <v>4.0</v>
      </c>
      <c r="L371" s="12">
        <v>5.0</v>
      </c>
      <c r="M371" s="12">
        <v>4.0</v>
      </c>
      <c r="N371" s="12">
        <v>4.0</v>
      </c>
      <c r="O371" s="12">
        <v>4.0</v>
      </c>
      <c r="P371" s="12">
        <v>9.0</v>
      </c>
    </row>
    <row r="372" ht="22.5" customHeight="1">
      <c r="A372" s="11">
        <v>46190.903572083334</v>
      </c>
      <c r="B372" s="12" t="s">
        <v>22</v>
      </c>
      <c r="C372" s="13">
        <v>46186.0</v>
      </c>
      <c r="D372" s="12" t="s">
        <v>29</v>
      </c>
      <c r="F372" s="12" t="s">
        <v>30</v>
      </c>
      <c r="G372" s="12" t="s">
        <v>26</v>
      </c>
      <c r="H372" s="12">
        <v>5.0</v>
      </c>
      <c r="I372" s="12">
        <v>5.0</v>
      </c>
      <c r="J372" s="12">
        <v>5.0</v>
      </c>
      <c r="K372" s="12">
        <v>5.0</v>
      </c>
      <c r="L372" s="12">
        <v>5.0</v>
      </c>
      <c r="M372" s="12">
        <v>5.0</v>
      </c>
      <c r="N372" s="12">
        <v>5.0</v>
      </c>
      <c r="O372" s="12">
        <v>5.0</v>
      </c>
      <c r="P372" s="12">
        <v>9.0</v>
      </c>
    </row>
    <row r="373" ht="22.5" customHeight="1">
      <c r="A373" s="11">
        <v>46212.43867193287</v>
      </c>
      <c r="B373" s="12" t="s">
        <v>22</v>
      </c>
      <c r="C373" s="13">
        <v>46212.0</v>
      </c>
      <c r="D373" s="12" t="s">
        <v>29</v>
      </c>
      <c r="E373" s="12" t="s">
        <v>46</v>
      </c>
      <c r="F373" s="12" t="s">
        <v>25</v>
      </c>
      <c r="G373" s="12" t="s">
        <v>26</v>
      </c>
      <c r="H373" s="12">
        <v>5.0</v>
      </c>
      <c r="I373" s="12">
        <v>5.0</v>
      </c>
      <c r="J373" s="12">
        <v>5.0</v>
      </c>
      <c r="K373" s="12">
        <v>5.0</v>
      </c>
      <c r="L373" s="12">
        <v>5.0</v>
      </c>
      <c r="M373" s="12">
        <v>5.0</v>
      </c>
      <c r="N373" s="12">
        <v>5.0</v>
      </c>
      <c r="O373" s="12">
        <v>5.0</v>
      </c>
      <c r="P373" s="12">
        <v>10.0</v>
      </c>
    </row>
    <row r="374" ht="22.5" customHeight="1">
      <c r="A374" s="11">
        <v>46217.55587364583</v>
      </c>
      <c r="B374" s="12" t="s">
        <v>22</v>
      </c>
      <c r="C374" s="13">
        <v>46217.0</v>
      </c>
      <c r="D374" s="12" t="s">
        <v>29</v>
      </c>
      <c r="F374" s="12" t="s">
        <v>25</v>
      </c>
      <c r="G374" s="12" t="s">
        <v>26</v>
      </c>
      <c r="H374" s="12">
        <v>5.0</v>
      </c>
      <c r="I374" s="12">
        <v>5.0</v>
      </c>
      <c r="J374" s="12">
        <v>5.0</v>
      </c>
      <c r="K374" s="12">
        <v>5.0</v>
      </c>
      <c r="L374" s="12">
        <v>4.0</v>
      </c>
      <c r="M374" s="12">
        <v>4.0</v>
      </c>
      <c r="N374" s="12">
        <v>5.0</v>
      </c>
      <c r="O374" s="12">
        <v>5.0</v>
      </c>
      <c r="P374" s="12">
        <v>8.0</v>
      </c>
    </row>
    <row r="375" ht="22.5" customHeight="1">
      <c r="A375" s="11">
        <v>46217.61463282407</v>
      </c>
      <c r="B375" s="12" t="s">
        <v>22</v>
      </c>
      <c r="C375" s="13">
        <v>46217.0</v>
      </c>
      <c r="D375" s="12" t="s">
        <v>35</v>
      </c>
      <c r="F375" s="12" t="s">
        <v>30</v>
      </c>
      <c r="G375" s="12" t="s">
        <v>26</v>
      </c>
      <c r="H375" s="12">
        <v>5.0</v>
      </c>
      <c r="I375" s="12">
        <v>5.0</v>
      </c>
      <c r="J375" s="12">
        <v>5.0</v>
      </c>
      <c r="K375" s="12">
        <v>5.0</v>
      </c>
      <c r="L375" s="12">
        <v>5.0</v>
      </c>
      <c r="M375" s="12">
        <v>5.0</v>
      </c>
      <c r="N375" s="12">
        <v>5.0</v>
      </c>
      <c r="O375" s="12">
        <v>5.0</v>
      </c>
      <c r="P375" s="12">
        <v>10.0</v>
      </c>
    </row>
    <row r="376" ht="22.5" customHeight="1">
      <c r="A376" s="11">
        <v>46230.4557980324</v>
      </c>
      <c r="B376" s="12" t="s">
        <v>22</v>
      </c>
      <c r="C376" s="13">
        <v>46230.0</v>
      </c>
      <c r="D376" s="12" t="s">
        <v>33</v>
      </c>
      <c r="E376" s="12" t="s">
        <v>29</v>
      </c>
      <c r="F376" s="12" t="s">
        <v>25</v>
      </c>
      <c r="G376" s="12" t="s">
        <v>26</v>
      </c>
      <c r="H376" s="12">
        <v>5.0</v>
      </c>
      <c r="I376" s="12">
        <v>5.0</v>
      </c>
      <c r="J376" s="12">
        <v>5.0</v>
      </c>
      <c r="K376" s="12">
        <v>5.0</v>
      </c>
      <c r="L376" s="12">
        <v>5.0</v>
      </c>
      <c r="M376" s="12">
        <v>5.0</v>
      </c>
      <c r="N376" s="12">
        <v>5.0</v>
      </c>
      <c r="O376" s="12">
        <v>5.0</v>
      </c>
      <c r="P376" s="12">
        <v>10.0</v>
      </c>
      <c r="Q376" s="12" t="s">
        <v>336</v>
      </c>
      <c r="R376" s="12" t="s">
        <v>71</v>
      </c>
      <c r="S376" s="14"/>
      <c r="T376" s="14"/>
      <c r="U376" s="14"/>
      <c r="V376" s="14"/>
    </row>
    <row r="377" ht="22.5" customHeight="1">
      <c r="A377" s="11">
        <v>46247.65248414352</v>
      </c>
      <c r="B377" s="12" t="s">
        <v>22</v>
      </c>
      <c r="C377" s="13">
        <v>46247.0</v>
      </c>
      <c r="D377" s="12" t="s">
        <v>29</v>
      </c>
      <c r="E377" s="12" t="s">
        <v>100</v>
      </c>
      <c r="F377" s="12" t="s">
        <v>30</v>
      </c>
      <c r="G377" s="12" t="s">
        <v>26</v>
      </c>
      <c r="H377" s="12">
        <v>4.0</v>
      </c>
      <c r="I377" s="12">
        <v>4.0</v>
      </c>
      <c r="J377" s="12">
        <v>4.0</v>
      </c>
      <c r="K377" s="12">
        <v>3.0</v>
      </c>
      <c r="L377" s="12">
        <v>2.0</v>
      </c>
      <c r="M377" s="12">
        <v>4.0</v>
      </c>
      <c r="N377" s="12">
        <v>3.0</v>
      </c>
      <c r="O377" s="12">
        <v>3.0</v>
      </c>
      <c r="P377" s="12">
        <v>9.0</v>
      </c>
    </row>
    <row r="378" ht="22.5" customHeight="1">
      <c r="A378" s="11">
        <v>46260.596111736115</v>
      </c>
      <c r="B378" s="12" t="s">
        <v>22</v>
      </c>
      <c r="C378" s="13">
        <v>46260.0</v>
      </c>
      <c r="D378" s="12" t="s">
        <v>29</v>
      </c>
      <c r="F378" s="12" t="s">
        <v>30</v>
      </c>
      <c r="G378" s="12" t="s">
        <v>26</v>
      </c>
      <c r="H378" s="12">
        <v>5.0</v>
      </c>
      <c r="I378" s="12">
        <v>5.0</v>
      </c>
      <c r="J378" s="12">
        <v>5.0</v>
      </c>
      <c r="K378" s="12">
        <v>5.0</v>
      </c>
      <c r="L378" s="12">
        <v>5.0</v>
      </c>
      <c r="M378" s="12">
        <v>5.0</v>
      </c>
      <c r="N378" s="12">
        <v>5.0</v>
      </c>
      <c r="O378" s="12">
        <v>5.0</v>
      </c>
      <c r="P378" s="12">
        <v>10.0</v>
      </c>
      <c r="Q378" s="12" t="s">
        <v>337</v>
      </c>
    </row>
    <row r="379" ht="22.5" customHeight="1">
      <c r="A379" s="11">
        <v>46286.49119793982</v>
      </c>
      <c r="B379" s="12" t="s">
        <v>22</v>
      </c>
      <c r="C379" s="13">
        <v>46286.0</v>
      </c>
      <c r="D379" s="12" t="s">
        <v>29</v>
      </c>
      <c r="F379" s="12" t="s">
        <v>30</v>
      </c>
      <c r="G379" s="12" t="s">
        <v>26</v>
      </c>
      <c r="H379" s="12">
        <v>3.0</v>
      </c>
      <c r="I379" s="12">
        <v>2.0</v>
      </c>
      <c r="J379" s="12">
        <v>2.0</v>
      </c>
      <c r="K379" s="12">
        <v>5.0</v>
      </c>
      <c r="L379" s="12">
        <v>5.0</v>
      </c>
      <c r="M379" s="12">
        <v>5.0</v>
      </c>
      <c r="N379" s="12">
        <v>5.0</v>
      </c>
      <c r="O379" s="12">
        <v>4.0</v>
      </c>
      <c r="P379" s="12">
        <v>8.0</v>
      </c>
      <c r="Q379" s="12" t="s">
        <v>71</v>
      </c>
      <c r="R379" s="12" t="s">
        <v>71</v>
      </c>
      <c r="S379" s="14"/>
      <c r="T379" s="14"/>
      <c r="U379" s="14"/>
      <c r="V379" s="14"/>
    </row>
    <row r="380" ht="22.5" customHeight="1">
      <c r="A380" s="11">
        <v>46303.46317284722</v>
      </c>
      <c r="B380" s="12" t="s">
        <v>22</v>
      </c>
      <c r="C380" s="13">
        <v>46303.0</v>
      </c>
      <c r="D380" s="12" t="s">
        <v>29</v>
      </c>
      <c r="F380" s="12" t="s">
        <v>30</v>
      </c>
      <c r="G380" s="12" t="s">
        <v>26</v>
      </c>
      <c r="H380" s="12">
        <v>5.0</v>
      </c>
      <c r="I380" s="12">
        <v>5.0</v>
      </c>
      <c r="J380" s="12">
        <v>5.0</v>
      </c>
      <c r="K380" s="12">
        <v>5.0</v>
      </c>
      <c r="L380" s="12">
        <v>3.0</v>
      </c>
      <c r="M380" s="12">
        <v>2.0</v>
      </c>
      <c r="N380" s="12">
        <v>3.0</v>
      </c>
      <c r="O380" s="12">
        <v>4.0</v>
      </c>
      <c r="P380" s="12">
        <v>8.0</v>
      </c>
    </row>
    <row r="381" ht="22.5" customHeight="1">
      <c r="A381" s="11">
        <v>46303.46358428241</v>
      </c>
      <c r="B381" s="12" t="s">
        <v>22</v>
      </c>
      <c r="C381" s="13">
        <v>46303.0</v>
      </c>
      <c r="D381" s="12" t="s">
        <v>29</v>
      </c>
      <c r="E381" s="12" t="s">
        <v>240</v>
      </c>
      <c r="F381" s="12" t="s">
        <v>338</v>
      </c>
      <c r="G381" s="12" t="s">
        <v>69</v>
      </c>
      <c r="H381" s="12">
        <v>3.0</v>
      </c>
      <c r="I381" s="12">
        <v>3.0</v>
      </c>
      <c r="J381" s="12">
        <v>4.0</v>
      </c>
      <c r="K381" s="12">
        <v>4.0</v>
      </c>
      <c r="L381" s="12">
        <v>3.0</v>
      </c>
      <c r="M381" s="12">
        <v>3.0</v>
      </c>
      <c r="N381" s="12">
        <v>3.0</v>
      </c>
      <c r="O381" s="12">
        <v>3.0</v>
      </c>
      <c r="P381" s="12">
        <v>7.0</v>
      </c>
      <c r="Q381" s="12" t="s">
        <v>339</v>
      </c>
      <c r="R381" s="12" t="s">
        <v>339</v>
      </c>
      <c r="S381" s="14"/>
      <c r="T381" s="14"/>
      <c r="U381" s="14"/>
      <c r="V381" s="14"/>
    </row>
    <row r="382" ht="22.5" customHeight="1">
      <c r="A382" s="11">
        <v>46303.46367769676</v>
      </c>
      <c r="B382" s="12" t="s">
        <v>22</v>
      </c>
      <c r="C382" s="13">
        <v>46303.0</v>
      </c>
      <c r="D382" s="12" t="s">
        <v>29</v>
      </c>
      <c r="E382" s="12" t="s">
        <v>206</v>
      </c>
      <c r="F382" s="12" t="s">
        <v>338</v>
      </c>
      <c r="G382" s="12" t="s">
        <v>26</v>
      </c>
      <c r="H382" s="12">
        <v>2.0</v>
      </c>
      <c r="J382" s="12">
        <v>2.0</v>
      </c>
      <c r="K382" s="12">
        <v>2.0</v>
      </c>
      <c r="L382" s="12">
        <v>2.0</v>
      </c>
      <c r="M382" s="12">
        <v>2.0</v>
      </c>
      <c r="N382" s="12">
        <v>1.0</v>
      </c>
      <c r="O382" s="12">
        <v>1.0</v>
      </c>
      <c r="P382" s="12">
        <v>2.0</v>
      </c>
      <c r="Q382" s="12" t="s">
        <v>340</v>
      </c>
      <c r="R382" s="12" t="s">
        <v>97</v>
      </c>
      <c r="S382" s="14"/>
      <c r="T382" s="14"/>
      <c r="U382" s="14"/>
      <c r="V382" s="14"/>
    </row>
    <row r="383" ht="22.5" customHeight="1">
      <c r="A383" s="11">
        <v>46303.463698796295</v>
      </c>
      <c r="B383" s="12" t="s">
        <v>22</v>
      </c>
      <c r="C383" s="13">
        <v>46303.0</v>
      </c>
      <c r="D383" s="12" t="s">
        <v>29</v>
      </c>
      <c r="E383" s="12" t="s">
        <v>104</v>
      </c>
      <c r="F383" s="12" t="s">
        <v>338</v>
      </c>
      <c r="G383" s="12" t="s">
        <v>69</v>
      </c>
      <c r="H383" s="12">
        <v>4.0</v>
      </c>
      <c r="I383" s="12">
        <v>4.0</v>
      </c>
      <c r="J383" s="12">
        <v>5.0</v>
      </c>
      <c r="K383" s="12">
        <v>5.0</v>
      </c>
      <c r="L383" s="12">
        <v>5.0</v>
      </c>
      <c r="M383" s="12">
        <v>5.0</v>
      </c>
      <c r="N383" s="12">
        <v>5.0</v>
      </c>
      <c r="O383" s="12">
        <v>5.0</v>
      </c>
      <c r="P383" s="12">
        <v>7.0</v>
      </c>
      <c r="Q383" s="12" t="s">
        <v>41</v>
      </c>
      <c r="R383" s="12" t="s">
        <v>41</v>
      </c>
      <c r="S383" s="14"/>
      <c r="T383" s="14"/>
      <c r="U383" s="14"/>
      <c r="V383" s="14"/>
    </row>
    <row r="384" ht="22.5" customHeight="1">
      <c r="A384" s="11">
        <v>46303.46381548611</v>
      </c>
      <c r="B384" s="12" t="s">
        <v>22</v>
      </c>
      <c r="C384" s="13">
        <v>46303.0</v>
      </c>
      <c r="D384" s="12" t="s">
        <v>29</v>
      </c>
      <c r="E384" s="12" t="s">
        <v>206</v>
      </c>
      <c r="F384" s="12" t="s">
        <v>338</v>
      </c>
      <c r="G384" s="12" t="s">
        <v>26</v>
      </c>
      <c r="H384" s="12">
        <v>2.0</v>
      </c>
      <c r="I384" s="12">
        <v>2.0</v>
      </c>
      <c r="J384" s="12">
        <v>2.0</v>
      </c>
      <c r="K384" s="12">
        <v>2.0</v>
      </c>
      <c r="L384" s="12">
        <v>2.0</v>
      </c>
      <c r="M384" s="12">
        <v>2.0</v>
      </c>
      <c r="N384" s="12">
        <v>1.0</v>
      </c>
      <c r="O384" s="12">
        <v>1.0</v>
      </c>
      <c r="P384" s="12">
        <v>1.0</v>
      </c>
      <c r="Q384" s="12" t="s">
        <v>275</v>
      </c>
      <c r="R384" s="12" t="s">
        <v>341</v>
      </c>
      <c r="S384" s="14"/>
      <c r="T384" s="14"/>
      <c r="U384" s="14"/>
      <c r="V384" s="14"/>
    </row>
    <row r="385" ht="22.5" customHeight="1">
      <c r="A385" s="11">
        <v>46303.46415568287</v>
      </c>
      <c r="B385" s="12" t="s">
        <v>22</v>
      </c>
      <c r="C385" s="13">
        <v>46303.0</v>
      </c>
      <c r="D385" s="12" t="s">
        <v>29</v>
      </c>
      <c r="E385" s="12" t="s">
        <v>85</v>
      </c>
      <c r="F385" s="12" t="s">
        <v>338</v>
      </c>
      <c r="G385" s="12" t="s">
        <v>69</v>
      </c>
      <c r="H385" s="12">
        <v>5.0</v>
      </c>
      <c r="I385" s="12">
        <v>5.0</v>
      </c>
      <c r="J385" s="12">
        <v>5.0</v>
      </c>
      <c r="K385" s="12">
        <v>5.0</v>
      </c>
      <c r="L385" s="12">
        <v>5.0</v>
      </c>
      <c r="M385" s="12">
        <v>5.0</v>
      </c>
      <c r="N385" s="12">
        <v>5.0</v>
      </c>
      <c r="O385" s="12">
        <v>5.0</v>
      </c>
      <c r="P385" s="12">
        <v>10.0</v>
      </c>
      <c r="Q385" s="12" t="s">
        <v>79</v>
      </c>
      <c r="R385" s="12" t="s">
        <v>38</v>
      </c>
      <c r="S385" s="14"/>
      <c r="T385" s="14"/>
      <c r="U385" s="14"/>
      <c r="V385" s="14"/>
    </row>
    <row r="386" ht="22.5" customHeight="1">
      <c r="A386" s="11">
        <v>46303.464272129626</v>
      </c>
      <c r="B386" s="12" t="s">
        <v>22</v>
      </c>
      <c r="C386" s="13">
        <v>46303.0</v>
      </c>
      <c r="D386" s="12" t="s">
        <v>29</v>
      </c>
      <c r="E386" s="12" t="s">
        <v>342</v>
      </c>
      <c r="F386" s="12" t="s">
        <v>338</v>
      </c>
      <c r="G386" s="12" t="s">
        <v>69</v>
      </c>
      <c r="H386" s="12">
        <v>5.0</v>
      </c>
      <c r="I386" s="12">
        <v>5.0</v>
      </c>
      <c r="J386" s="12">
        <v>5.0</v>
      </c>
      <c r="K386" s="12">
        <v>5.0</v>
      </c>
      <c r="L386" s="12">
        <v>5.0</v>
      </c>
      <c r="M386" s="12">
        <v>5.0</v>
      </c>
      <c r="N386" s="12">
        <v>5.0</v>
      </c>
      <c r="O386" s="12">
        <v>5.0</v>
      </c>
      <c r="P386" s="12">
        <v>10.0</v>
      </c>
    </row>
    <row r="387" ht="22.5" customHeight="1">
      <c r="A387" s="11">
        <v>46303.464318541664</v>
      </c>
      <c r="B387" s="12" t="s">
        <v>22</v>
      </c>
      <c r="C387" s="13">
        <v>46303.0</v>
      </c>
      <c r="D387" s="12" t="s">
        <v>29</v>
      </c>
      <c r="F387" s="12" t="s">
        <v>338</v>
      </c>
      <c r="G387" s="12" t="s">
        <v>43</v>
      </c>
      <c r="H387" s="12">
        <v>5.0</v>
      </c>
      <c r="I387" s="12">
        <v>5.0</v>
      </c>
      <c r="J387" s="12">
        <v>5.0</v>
      </c>
      <c r="K387" s="12">
        <v>5.0</v>
      </c>
      <c r="L387" s="12">
        <v>5.0</v>
      </c>
      <c r="M387" s="12">
        <v>5.0</v>
      </c>
      <c r="N387" s="12">
        <v>5.0</v>
      </c>
      <c r="O387" s="12">
        <v>5.0</v>
      </c>
      <c r="P387" s="12">
        <v>10.0</v>
      </c>
      <c r="Q387" s="12" t="s">
        <v>343</v>
      </c>
      <c r="R387" s="12" t="s">
        <v>344</v>
      </c>
      <c r="S387" s="14"/>
      <c r="T387" s="14"/>
      <c r="U387" s="14"/>
      <c r="V387" s="14"/>
    </row>
    <row r="388" ht="22.5" customHeight="1">
      <c r="A388" s="11">
        <v>46303.46432170139</v>
      </c>
      <c r="B388" s="12" t="s">
        <v>22</v>
      </c>
      <c r="C388" s="13">
        <v>46303.0</v>
      </c>
      <c r="D388" s="12" t="s">
        <v>29</v>
      </c>
      <c r="E388" s="12" t="s">
        <v>104</v>
      </c>
      <c r="F388" s="12" t="s">
        <v>338</v>
      </c>
      <c r="G388" s="12" t="s">
        <v>69</v>
      </c>
      <c r="H388" s="12">
        <v>5.0</v>
      </c>
      <c r="I388" s="12">
        <v>3.0</v>
      </c>
      <c r="J388" s="12">
        <v>4.0</v>
      </c>
      <c r="K388" s="12">
        <v>4.0</v>
      </c>
      <c r="L388" s="12">
        <v>4.0</v>
      </c>
      <c r="M388" s="12">
        <v>4.0</v>
      </c>
      <c r="N388" s="12">
        <v>4.0</v>
      </c>
      <c r="O388" s="12">
        <v>4.0</v>
      </c>
      <c r="P388" s="12">
        <v>9.0</v>
      </c>
    </row>
    <row r="389" ht="22.5" customHeight="1">
      <c r="A389" s="11">
        <v>46303.46463335648</v>
      </c>
      <c r="B389" s="12">
        <v>6.0</v>
      </c>
      <c r="C389" s="13">
        <v>39532.0</v>
      </c>
      <c r="D389" s="12" t="s">
        <v>29</v>
      </c>
      <c r="E389" s="12" t="s">
        <v>100</v>
      </c>
      <c r="F389" s="12" t="s">
        <v>338</v>
      </c>
      <c r="G389" s="12" t="s">
        <v>69</v>
      </c>
      <c r="H389" s="12">
        <v>5.0</v>
      </c>
      <c r="I389" s="12">
        <v>5.0</v>
      </c>
      <c r="J389" s="12">
        <v>5.0</v>
      </c>
      <c r="K389" s="12">
        <v>5.0</v>
      </c>
      <c r="L389" s="12">
        <v>5.0</v>
      </c>
      <c r="M389" s="12">
        <v>5.0</v>
      </c>
      <c r="N389" s="12">
        <v>5.0</v>
      </c>
      <c r="O389" s="12">
        <v>5.0</v>
      </c>
      <c r="P389" s="12">
        <v>10.0</v>
      </c>
    </row>
    <row r="390" ht="22.5" customHeight="1">
      <c r="A390" s="11">
        <v>46303.46466048611</v>
      </c>
      <c r="B390" s="12" t="s">
        <v>22</v>
      </c>
      <c r="C390" s="13">
        <v>46303.0</v>
      </c>
      <c r="D390" s="12" t="s">
        <v>29</v>
      </c>
      <c r="F390" s="12" t="s">
        <v>338</v>
      </c>
      <c r="G390" s="12" t="s">
        <v>26</v>
      </c>
      <c r="H390" s="12">
        <v>4.0</v>
      </c>
      <c r="I390" s="12">
        <v>5.0</v>
      </c>
      <c r="J390" s="12">
        <v>4.0</v>
      </c>
      <c r="K390" s="12">
        <v>4.0</v>
      </c>
      <c r="L390" s="12">
        <v>5.0</v>
      </c>
      <c r="M390" s="12">
        <v>5.0</v>
      </c>
      <c r="N390" s="12">
        <v>5.0</v>
      </c>
      <c r="O390" s="12">
        <v>5.0</v>
      </c>
      <c r="P390" s="12">
        <v>10.0</v>
      </c>
    </row>
    <row r="391" ht="22.5" customHeight="1">
      <c r="A391" s="11">
        <v>46303.46475479167</v>
      </c>
      <c r="B391" s="12" t="s">
        <v>22</v>
      </c>
      <c r="C391" s="13">
        <v>46303.0</v>
      </c>
      <c r="D391" s="12" t="s">
        <v>29</v>
      </c>
      <c r="F391" s="12" t="s">
        <v>338</v>
      </c>
      <c r="G391" s="12" t="s">
        <v>26</v>
      </c>
      <c r="H391" s="12">
        <v>5.0</v>
      </c>
      <c r="I391" s="12">
        <v>5.0</v>
      </c>
      <c r="J391" s="12">
        <v>5.0</v>
      </c>
      <c r="K391" s="12">
        <v>5.0</v>
      </c>
      <c r="L391" s="12">
        <v>5.0</v>
      </c>
      <c r="M391" s="12">
        <v>5.0</v>
      </c>
      <c r="N391" s="12">
        <v>5.0</v>
      </c>
      <c r="O391" s="12">
        <v>5.0</v>
      </c>
      <c r="P391" s="12">
        <v>10.0</v>
      </c>
      <c r="Q391" s="12" t="s">
        <v>345</v>
      </c>
      <c r="R391" s="12" t="s">
        <v>346</v>
      </c>
      <c r="S391" s="14"/>
      <c r="T391" s="14"/>
      <c r="U391" s="14"/>
      <c r="V391" s="14"/>
    </row>
    <row r="392" ht="22.5" customHeight="1">
      <c r="A392" s="11">
        <v>46303.46475557871</v>
      </c>
      <c r="B392" s="12" t="s">
        <v>22</v>
      </c>
      <c r="C392" s="13">
        <v>46303.0</v>
      </c>
      <c r="D392" s="12" t="s">
        <v>29</v>
      </c>
      <c r="E392" s="12" t="s">
        <v>347</v>
      </c>
      <c r="F392" s="12" t="s">
        <v>338</v>
      </c>
      <c r="G392" s="12" t="s">
        <v>69</v>
      </c>
      <c r="H392" s="12">
        <v>4.0</v>
      </c>
      <c r="I392" s="12">
        <v>3.0</v>
      </c>
      <c r="J392" s="12">
        <v>4.0</v>
      </c>
      <c r="K392" s="12">
        <v>5.0</v>
      </c>
      <c r="L392" s="12">
        <v>4.0</v>
      </c>
      <c r="M392" s="12">
        <v>4.0</v>
      </c>
      <c r="N392" s="12">
        <v>4.0</v>
      </c>
      <c r="O392" s="12">
        <v>4.0</v>
      </c>
      <c r="P392" s="12">
        <v>5.0</v>
      </c>
      <c r="Q392" s="12" t="s">
        <v>348</v>
      </c>
      <c r="R392" s="12" t="s">
        <v>41</v>
      </c>
      <c r="S392" s="14"/>
      <c r="T392" s="14"/>
      <c r="U392" s="14"/>
      <c r="V392" s="14"/>
    </row>
    <row r="393" ht="22.5" customHeight="1">
      <c r="A393" s="11">
        <v>46303.46484973379</v>
      </c>
      <c r="B393" s="12">
        <v>6.0</v>
      </c>
      <c r="C393" s="13">
        <v>46303.0</v>
      </c>
      <c r="D393" s="12" t="s">
        <v>29</v>
      </c>
      <c r="E393" s="12">
        <v>1.0</v>
      </c>
      <c r="F393" s="12" t="s">
        <v>338</v>
      </c>
      <c r="G393" s="12" t="s">
        <v>43</v>
      </c>
      <c r="H393" s="12">
        <v>1.0</v>
      </c>
      <c r="I393" s="12">
        <v>1.0</v>
      </c>
      <c r="J393" s="12">
        <v>1.0</v>
      </c>
      <c r="K393" s="12">
        <v>1.0</v>
      </c>
      <c r="L393" s="12">
        <v>1.0</v>
      </c>
      <c r="M393" s="12">
        <v>1.0</v>
      </c>
      <c r="N393" s="12">
        <v>1.0</v>
      </c>
      <c r="O393" s="12">
        <v>1.0</v>
      </c>
      <c r="P393" s="12">
        <v>1.0</v>
      </c>
      <c r="Q393" s="12" t="s">
        <v>349</v>
      </c>
      <c r="R393" s="12" t="s">
        <v>71</v>
      </c>
      <c r="S393" s="14"/>
      <c r="T393" s="14"/>
      <c r="U393" s="14"/>
      <c r="V393" s="14"/>
    </row>
    <row r="394" ht="22.5" customHeight="1">
      <c r="A394" s="11">
        <v>46303.46503215277</v>
      </c>
      <c r="B394" s="12" t="s">
        <v>22</v>
      </c>
      <c r="C394" s="13">
        <v>46303.0</v>
      </c>
      <c r="D394" s="12" t="s">
        <v>29</v>
      </c>
      <c r="F394" s="12" t="s">
        <v>338</v>
      </c>
      <c r="G394" s="12" t="s">
        <v>69</v>
      </c>
      <c r="H394" s="12">
        <v>4.0</v>
      </c>
      <c r="I394" s="12">
        <v>4.0</v>
      </c>
      <c r="J394" s="12">
        <v>5.0</v>
      </c>
      <c r="K394" s="12">
        <v>4.0</v>
      </c>
      <c r="L394" s="12">
        <v>3.0</v>
      </c>
      <c r="M394" s="12">
        <v>4.0</v>
      </c>
      <c r="N394" s="12">
        <v>3.0</v>
      </c>
      <c r="O394" s="12">
        <v>4.0</v>
      </c>
      <c r="P394" s="12">
        <v>8.0</v>
      </c>
      <c r="Q394" s="12" t="s">
        <v>41</v>
      </c>
      <c r="R394" s="12" t="s">
        <v>41</v>
      </c>
      <c r="S394" s="14"/>
      <c r="T394" s="14"/>
      <c r="U394" s="14"/>
      <c r="V394" s="14"/>
    </row>
    <row r="395" ht="22.5" customHeight="1">
      <c r="A395" s="11">
        <v>46303.46514741898</v>
      </c>
      <c r="B395" s="12">
        <v>6.0</v>
      </c>
      <c r="C395" s="13">
        <v>46303.0</v>
      </c>
      <c r="D395" s="12" t="s">
        <v>29</v>
      </c>
      <c r="F395" s="12" t="s">
        <v>338</v>
      </c>
      <c r="G395" s="12" t="s">
        <v>26</v>
      </c>
      <c r="H395" s="12">
        <v>2.0</v>
      </c>
      <c r="I395" s="12">
        <v>1.0</v>
      </c>
      <c r="J395" s="12">
        <v>1.0</v>
      </c>
      <c r="K395" s="12">
        <v>1.0</v>
      </c>
      <c r="L395" s="12">
        <v>1.0</v>
      </c>
      <c r="M395" s="12">
        <v>1.0</v>
      </c>
      <c r="N395" s="12">
        <v>3.0</v>
      </c>
      <c r="O395" s="12">
        <v>4.0</v>
      </c>
      <c r="P395" s="12">
        <v>5.0</v>
      </c>
    </row>
    <row r="396" ht="22.5" customHeight="1">
      <c r="A396" s="11">
        <v>46303.46597038195</v>
      </c>
      <c r="B396" s="12" t="s">
        <v>22</v>
      </c>
      <c r="C396" s="13">
        <v>46303.0</v>
      </c>
      <c r="D396" s="12" t="s">
        <v>350</v>
      </c>
      <c r="F396" s="12" t="s">
        <v>338</v>
      </c>
      <c r="G396" s="12" t="s">
        <v>26</v>
      </c>
      <c r="H396" s="12">
        <v>1.0</v>
      </c>
      <c r="I396" s="12">
        <v>2.0</v>
      </c>
      <c r="J396" s="12">
        <v>3.0</v>
      </c>
      <c r="K396" s="12">
        <v>3.0</v>
      </c>
      <c r="L396" s="12">
        <v>3.0</v>
      </c>
      <c r="M396" s="12">
        <v>5.0</v>
      </c>
      <c r="N396" s="12">
        <v>3.0</v>
      </c>
      <c r="O396" s="12">
        <v>3.0</v>
      </c>
      <c r="P396" s="12">
        <v>6.0</v>
      </c>
    </row>
    <row r="397" ht="22.5" customHeight="1">
      <c r="A397" s="11">
        <v>46303.46599384259</v>
      </c>
      <c r="B397" s="12">
        <v>6.0</v>
      </c>
      <c r="C397" s="13">
        <v>46303.0</v>
      </c>
      <c r="D397" s="12" t="s">
        <v>29</v>
      </c>
      <c r="E397" s="12" t="s">
        <v>143</v>
      </c>
      <c r="F397" s="12" t="s">
        <v>338</v>
      </c>
      <c r="G397" s="12" t="s">
        <v>43</v>
      </c>
      <c r="H397" s="12">
        <v>4.0</v>
      </c>
      <c r="I397" s="12">
        <v>4.0</v>
      </c>
      <c r="J397" s="12">
        <v>4.0</v>
      </c>
      <c r="K397" s="12">
        <v>3.0</v>
      </c>
      <c r="L397" s="12">
        <v>4.0</v>
      </c>
      <c r="M397" s="12">
        <v>4.0</v>
      </c>
      <c r="N397" s="12">
        <v>4.0</v>
      </c>
      <c r="O397" s="12">
        <v>4.0</v>
      </c>
      <c r="P397" s="12">
        <v>9.0</v>
      </c>
      <c r="Q397" s="12" t="s">
        <v>351</v>
      </c>
      <c r="R397" s="12" t="s">
        <v>41</v>
      </c>
      <c r="S397" s="14"/>
      <c r="T397" s="14"/>
      <c r="U397" s="14"/>
      <c r="V397" s="14"/>
    </row>
    <row r="398" ht="22.5" customHeight="1">
      <c r="A398" s="11">
        <v>46303.4679731713</v>
      </c>
      <c r="B398" s="12">
        <v>7.0</v>
      </c>
      <c r="C398" s="13">
        <v>46303.0</v>
      </c>
      <c r="D398" s="12" t="s">
        <v>350</v>
      </c>
      <c r="E398" s="12" t="s">
        <v>352</v>
      </c>
      <c r="F398" s="12" t="s">
        <v>338</v>
      </c>
      <c r="G398" s="12" t="s">
        <v>26</v>
      </c>
      <c r="H398" s="12">
        <v>2.0</v>
      </c>
      <c r="I398" s="12">
        <v>3.0</v>
      </c>
      <c r="J398" s="12">
        <v>3.0</v>
      </c>
      <c r="K398" s="12">
        <v>2.0</v>
      </c>
      <c r="L398" s="12">
        <v>3.0</v>
      </c>
      <c r="M398" s="12">
        <v>3.0</v>
      </c>
      <c r="N398" s="12">
        <v>3.0</v>
      </c>
      <c r="O398" s="12">
        <v>3.0</v>
      </c>
      <c r="P398" s="12">
        <v>3.0</v>
      </c>
      <c r="Q398" s="12" t="s">
        <v>353</v>
      </c>
      <c r="R398" s="12" t="s">
        <v>354</v>
      </c>
      <c r="S398" s="14"/>
      <c r="T398" s="14"/>
      <c r="U398" s="14"/>
      <c r="V398" s="14"/>
    </row>
    <row r="399" ht="22.5" customHeight="1">
      <c r="A399" s="11">
        <v>46303.468130891204</v>
      </c>
      <c r="B399" s="12" t="s">
        <v>355</v>
      </c>
      <c r="C399" s="13">
        <v>46303.0</v>
      </c>
      <c r="D399" s="12" t="s">
        <v>350</v>
      </c>
      <c r="F399" s="12" t="s">
        <v>338</v>
      </c>
      <c r="G399" s="12" t="s">
        <v>43</v>
      </c>
      <c r="H399" s="12">
        <v>5.0</v>
      </c>
      <c r="I399" s="12">
        <v>5.0</v>
      </c>
      <c r="J399" s="12">
        <v>5.0</v>
      </c>
      <c r="K399" s="12">
        <v>5.0</v>
      </c>
      <c r="L399" s="12">
        <v>5.0</v>
      </c>
      <c r="M399" s="12">
        <v>5.0</v>
      </c>
      <c r="N399" s="12">
        <v>5.0</v>
      </c>
      <c r="O399" s="12">
        <v>5.0</v>
      </c>
      <c r="P399" s="12">
        <v>10.0</v>
      </c>
      <c r="Q399" s="12" t="s">
        <v>356</v>
      </c>
    </row>
    <row r="400" ht="22.5" customHeight="1">
      <c r="A400" s="11">
        <v>46303.478310798615</v>
      </c>
      <c r="H400" s="12">
        <v>3.0</v>
      </c>
      <c r="I400" s="12">
        <v>3.0</v>
      </c>
      <c r="J400" s="12">
        <v>3.0</v>
      </c>
      <c r="K400" s="12">
        <v>3.0</v>
      </c>
      <c r="L400" s="12">
        <v>3.0</v>
      </c>
      <c r="M400" s="12">
        <v>3.0</v>
      </c>
      <c r="N400" s="12">
        <v>3.0</v>
      </c>
      <c r="O400" s="12">
        <v>3.0</v>
      </c>
      <c r="P400" s="12">
        <v>8.0</v>
      </c>
      <c r="T400" s="15">
        <v>0.0</v>
      </c>
    </row>
    <row r="401" ht="22.5" customHeight="1">
      <c r="A401" s="11">
        <v>46303.48093981481</v>
      </c>
      <c r="H401" s="12">
        <v>5.0</v>
      </c>
      <c r="I401" s="12">
        <v>5.0</v>
      </c>
      <c r="J401" s="12">
        <v>5.0</v>
      </c>
      <c r="K401" s="12">
        <v>5.0</v>
      </c>
      <c r="L401" s="12">
        <v>5.0</v>
      </c>
      <c r="M401" s="12">
        <v>5.0</v>
      </c>
      <c r="N401" s="12">
        <v>5.0</v>
      </c>
      <c r="O401" s="12">
        <v>5.0</v>
      </c>
      <c r="P401" s="12">
        <v>10.0</v>
      </c>
      <c r="T401" s="15">
        <v>0.0</v>
      </c>
    </row>
    <row r="402" ht="22.5" customHeight="1">
      <c r="A402" s="11">
        <v>46303.480943483795</v>
      </c>
      <c r="H402" s="12">
        <v>5.0</v>
      </c>
      <c r="I402" s="12">
        <v>5.0</v>
      </c>
      <c r="J402" s="12">
        <v>4.0</v>
      </c>
      <c r="K402" s="12">
        <v>4.0</v>
      </c>
      <c r="L402" s="12">
        <v>4.0</v>
      </c>
      <c r="M402" s="12">
        <v>4.0</v>
      </c>
      <c r="N402" s="12">
        <v>4.0</v>
      </c>
      <c r="O402" s="12">
        <v>4.0</v>
      </c>
      <c r="P402" s="12">
        <v>5.0</v>
      </c>
      <c r="Q402" s="12" t="s">
        <v>44</v>
      </c>
      <c r="R402" s="12" t="s">
        <v>357</v>
      </c>
      <c r="T402" s="15">
        <v>0.0</v>
      </c>
    </row>
    <row r="403" ht="22.5" customHeight="1">
      <c r="A403" s="11">
        <v>46303.48103542824</v>
      </c>
      <c r="H403" s="12">
        <v>4.0</v>
      </c>
      <c r="I403" s="12">
        <v>4.0</v>
      </c>
      <c r="J403" s="12">
        <v>4.0</v>
      </c>
      <c r="K403" s="12">
        <v>4.0</v>
      </c>
      <c r="L403" s="12">
        <v>4.0</v>
      </c>
      <c r="M403" s="12">
        <v>4.0</v>
      </c>
      <c r="N403" s="12">
        <v>4.0</v>
      </c>
      <c r="O403" s="12">
        <v>4.0</v>
      </c>
      <c r="P403" s="12">
        <v>8.0</v>
      </c>
      <c r="T403" s="15">
        <v>0.0</v>
      </c>
    </row>
    <row r="404" ht="22.5" customHeight="1">
      <c r="A404" s="11">
        <v>46303.48104829861</v>
      </c>
      <c r="H404" s="12">
        <v>3.0</v>
      </c>
      <c r="I404" s="12">
        <v>3.0</v>
      </c>
      <c r="J404" s="12">
        <v>3.0</v>
      </c>
      <c r="K404" s="12">
        <v>3.0</v>
      </c>
      <c r="L404" s="12">
        <v>5.0</v>
      </c>
      <c r="M404" s="12">
        <v>3.0</v>
      </c>
      <c r="N404" s="12">
        <v>3.0</v>
      </c>
      <c r="O404" s="12">
        <v>3.0</v>
      </c>
      <c r="P404" s="12">
        <v>6.0</v>
      </c>
      <c r="T404" s="15">
        <v>0.0</v>
      </c>
    </row>
    <row r="405" ht="22.5" customHeight="1">
      <c r="A405" s="11">
        <v>46303.48115708333</v>
      </c>
      <c r="H405" s="12">
        <v>3.0</v>
      </c>
      <c r="I405" s="12">
        <v>3.0</v>
      </c>
      <c r="J405" s="12">
        <v>4.0</v>
      </c>
      <c r="K405" s="12">
        <v>4.0</v>
      </c>
      <c r="L405" s="12">
        <v>4.0</v>
      </c>
      <c r="M405" s="12">
        <v>3.0</v>
      </c>
      <c r="N405" s="12">
        <v>3.0</v>
      </c>
      <c r="O405" s="12">
        <v>3.0</v>
      </c>
      <c r="P405" s="12">
        <v>7.0</v>
      </c>
      <c r="T405" s="15">
        <v>0.0</v>
      </c>
      <c r="U405" s="12" t="s">
        <v>358</v>
      </c>
      <c r="V405" s="14"/>
    </row>
    <row r="406" ht="22.5" customHeight="1">
      <c r="A406" s="11">
        <v>46303.481395243056</v>
      </c>
      <c r="H406" s="12">
        <v>5.0</v>
      </c>
      <c r="I406" s="12">
        <v>4.0</v>
      </c>
      <c r="J406" s="12">
        <v>5.0</v>
      </c>
      <c r="K406" s="12">
        <v>4.0</v>
      </c>
      <c r="L406" s="12">
        <v>5.0</v>
      </c>
      <c r="M406" s="12">
        <v>5.0</v>
      </c>
      <c r="N406" s="12">
        <v>5.0</v>
      </c>
      <c r="O406" s="12">
        <v>5.0</v>
      </c>
      <c r="P406" s="12">
        <v>9.0</v>
      </c>
      <c r="Q406" s="12" t="s">
        <v>44</v>
      </c>
      <c r="R406" s="12" t="s">
        <v>71</v>
      </c>
      <c r="T406" s="15">
        <v>0.0</v>
      </c>
    </row>
    <row r="407" ht="22.5" customHeight="1">
      <c r="A407" s="11">
        <v>46303.48146332176</v>
      </c>
      <c r="H407" s="12">
        <v>5.0</v>
      </c>
      <c r="I407" s="12">
        <v>5.0</v>
      </c>
      <c r="J407" s="12">
        <v>5.0</v>
      </c>
      <c r="K407" s="12">
        <v>4.0</v>
      </c>
      <c r="L407" s="12">
        <v>4.0</v>
      </c>
      <c r="M407" s="12">
        <v>5.0</v>
      </c>
      <c r="N407" s="12">
        <v>4.0</v>
      </c>
      <c r="O407" s="12">
        <v>5.0</v>
      </c>
      <c r="P407" s="12">
        <v>9.0</v>
      </c>
      <c r="Q407" s="12" t="s">
        <v>44</v>
      </c>
      <c r="R407" s="12" t="s">
        <v>359</v>
      </c>
      <c r="T407" s="15">
        <v>0.0</v>
      </c>
    </row>
    <row r="408" ht="22.5" customHeight="1">
      <c r="A408" s="11">
        <v>46303.481511817125</v>
      </c>
      <c r="H408" s="12">
        <v>4.0</v>
      </c>
      <c r="I408" s="12">
        <v>5.0</v>
      </c>
      <c r="J408" s="12">
        <v>4.0</v>
      </c>
      <c r="K408" s="12">
        <v>4.0</v>
      </c>
      <c r="L408" s="12">
        <v>4.0</v>
      </c>
      <c r="M408" s="12">
        <v>4.0</v>
      </c>
      <c r="N408" s="12">
        <v>4.0</v>
      </c>
      <c r="O408" s="12">
        <v>4.0</v>
      </c>
      <c r="P408" s="12">
        <v>9.0</v>
      </c>
      <c r="Q408" s="12" t="s">
        <v>360</v>
      </c>
      <c r="R408" s="12" t="s">
        <v>361</v>
      </c>
      <c r="T408" s="15">
        <v>0.0</v>
      </c>
      <c r="U408" s="12" t="s">
        <v>362</v>
      </c>
      <c r="V408" s="14"/>
    </row>
    <row r="409" ht="22.5" customHeight="1">
      <c r="A409" s="11">
        <v>46303.48160983797</v>
      </c>
      <c r="H409" s="12">
        <v>4.0</v>
      </c>
      <c r="I409" s="12">
        <v>5.0</v>
      </c>
      <c r="J409" s="12">
        <v>5.0</v>
      </c>
      <c r="K409" s="12">
        <v>5.0</v>
      </c>
      <c r="L409" s="12">
        <v>5.0</v>
      </c>
      <c r="M409" s="12">
        <v>5.0</v>
      </c>
      <c r="N409" s="12">
        <v>5.0</v>
      </c>
      <c r="O409" s="12">
        <v>5.0</v>
      </c>
      <c r="P409" s="12">
        <v>8.0</v>
      </c>
      <c r="Q409" s="12" t="s">
        <v>363</v>
      </c>
      <c r="R409" s="12" t="s">
        <v>364</v>
      </c>
      <c r="T409" s="15">
        <v>0.0</v>
      </c>
    </row>
    <row r="410" ht="22.5" customHeight="1">
      <c r="A410" s="11">
        <v>46303.48163255787</v>
      </c>
      <c r="H410" s="12">
        <v>4.0</v>
      </c>
      <c r="I410" s="12">
        <v>4.0</v>
      </c>
      <c r="J410" s="12">
        <v>4.0</v>
      </c>
      <c r="K410" s="12">
        <v>4.0</v>
      </c>
      <c r="L410" s="12">
        <v>4.0</v>
      </c>
      <c r="M410" s="12">
        <v>4.0</v>
      </c>
      <c r="N410" s="12">
        <v>4.0</v>
      </c>
      <c r="O410" s="12">
        <v>4.0</v>
      </c>
      <c r="P410" s="12">
        <v>9.0</v>
      </c>
      <c r="Q410" s="12" t="s">
        <v>44</v>
      </c>
      <c r="R410" s="12" t="s">
        <v>365</v>
      </c>
      <c r="T410" s="15">
        <v>0.0</v>
      </c>
    </row>
    <row r="411" ht="22.5" customHeight="1">
      <c r="A411" s="11">
        <v>46303.48169552084</v>
      </c>
      <c r="H411" s="12">
        <v>5.0</v>
      </c>
      <c r="I411" s="12">
        <v>5.0</v>
      </c>
      <c r="J411" s="12">
        <v>5.0</v>
      </c>
      <c r="K411" s="12">
        <v>5.0</v>
      </c>
      <c r="L411" s="12">
        <v>5.0</v>
      </c>
      <c r="M411" s="12">
        <v>5.0</v>
      </c>
      <c r="N411" s="12">
        <v>5.0</v>
      </c>
      <c r="O411" s="12">
        <v>5.0</v>
      </c>
      <c r="P411" s="12">
        <v>10.0</v>
      </c>
      <c r="R411" s="12" t="s">
        <v>366</v>
      </c>
      <c r="T411" s="15">
        <v>0.0</v>
      </c>
    </row>
    <row r="412" ht="22.5" customHeight="1">
      <c r="A412" s="11">
        <v>46303.481704398146</v>
      </c>
      <c r="H412" s="12">
        <v>4.0</v>
      </c>
      <c r="I412" s="12">
        <v>3.0</v>
      </c>
      <c r="J412" s="12">
        <v>4.0</v>
      </c>
      <c r="K412" s="12">
        <v>5.0</v>
      </c>
      <c r="L412" s="12">
        <v>3.0</v>
      </c>
      <c r="M412" s="12">
        <v>4.0</v>
      </c>
      <c r="N412" s="12">
        <v>5.0</v>
      </c>
      <c r="O412" s="12">
        <v>5.0</v>
      </c>
      <c r="P412" s="12">
        <v>10.0</v>
      </c>
      <c r="T412" s="15">
        <v>0.0</v>
      </c>
    </row>
    <row r="413" ht="22.5" customHeight="1">
      <c r="A413" s="11">
        <v>46303.48187876157</v>
      </c>
      <c r="H413" s="12">
        <v>1.0</v>
      </c>
      <c r="I413" s="12">
        <v>1.0</v>
      </c>
      <c r="J413" s="12">
        <v>1.0</v>
      </c>
      <c r="K413" s="12">
        <v>1.0</v>
      </c>
      <c r="L413" s="12">
        <v>1.0</v>
      </c>
      <c r="M413" s="12">
        <v>1.0</v>
      </c>
      <c r="N413" s="12">
        <v>1.0</v>
      </c>
      <c r="O413" s="12">
        <v>1.0</v>
      </c>
      <c r="P413" s="12">
        <v>1.0</v>
      </c>
      <c r="Q413" s="12" t="s">
        <v>44</v>
      </c>
      <c r="R413" s="12" t="s">
        <v>367</v>
      </c>
      <c r="T413" s="15">
        <v>0.0</v>
      </c>
    </row>
    <row r="414" ht="22.5" customHeight="1">
      <c r="A414" s="11">
        <v>46303.48193998843</v>
      </c>
      <c r="H414" s="12">
        <v>5.0</v>
      </c>
      <c r="I414" s="12">
        <v>5.0</v>
      </c>
      <c r="J414" s="12">
        <v>5.0</v>
      </c>
      <c r="K414" s="12">
        <v>4.0</v>
      </c>
      <c r="L414" s="12">
        <v>3.0</v>
      </c>
      <c r="M414" s="12">
        <v>3.0</v>
      </c>
      <c r="N414" s="12">
        <v>3.0</v>
      </c>
      <c r="O414" s="12">
        <v>4.0</v>
      </c>
      <c r="P414" s="12">
        <v>9.0</v>
      </c>
      <c r="Q414" s="12" t="s">
        <v>368</v>
      </c>
      <c r="R414" s="12" t="s">
        <v>369</v>
      </c>
      <c r="T414" s="15">
        <v>0.0</v>
      </c>
    </row>
    <row r="415" ht="22.5" customHeight="1">
      <c r="A415" s="11">
        <v>46303.48211534722</v>
      </c>
      <c r="H415" s="12">
        <v>4.0</v>
      </c>
      <c r="I415" s="12">
        <v>3.0</v>
      </c>
      <c r="J415" s="12">
        <v>4.0</v>
      </c>
      <c r="K415" s="12">
        <v>3.0</v>
      </c>
      <c r="L415" s="12">
        <v>3.0</v>
      </c>
      <c r="M415" s="12">
        <v>4.0</v>
      </c>
      <c r="N415" s="12">
        <v>4.0</v>
      </c>
      <c r="O415" s="12">
        <v>4.0</v>
      </c>
      <c r="P415" s="12">
        <v>8.0</v>
      </c>
      <c r="Q415" s="12" t="s">
        <v>41</v>
      </c>
      <c r="R415" s="12" t="s">
        <v>41</v>
      </c>
      <c r="T415" s="15">
        <v>0.0</v>
      </c>
      <c r="U415" s="12" t="s">
        <v>370</v>
      </c>
      <c r="V415" s="14"/>
    </row>
    <row r="416" ht="22.5" customHeight="1">
      <c r="A416" s="11">
        <v>46303.482381724534</v>
      </c>
      <c r="H416" s="12">
        <v>5.0</v>
      </c>
      <c r="I416" s="12">
        <v>5.0</v>
      </c>
      <c r="J416" s="12">
        <v>5.0</v>
      </c>
      <c r="K416" s="12">
        <v>5.0</v>
      </c>
      <c r="L416" s="12">
        <v>5.0</v>
      </c>
      <c r="M416" s="12">
        <v>5.0</v>
      </c>
      <c r="N416" s="12">
        <v>5.0</v>
      </c>
      <c r="O416" s="12">
        <v>5.0</v>
      </c>
      <c r="P416" s="12">
        <v>10.0</v>
      </c>
      <c r="Q416" s="12" t="s">
        <v>371</v>
      </c>
      <c r="R416" s="12" t="s">
        <v>372</v>
      </c>
      <c r="T416" s="15">
        <v>0.0</v>
      </c>
      <c r="U416" s="12" t="s">
        <v>373</v>
      </c>
      <c r="V416" s="14"/>
    </row>
    <row r="417" ht="22.5" customHeight="1">
      <c r="A417" s="11">
        <v>46303.48305913195</v>
      </c>
      <c r="H417" s="12">
        <v>5.0</v>
      </c>
      <c r="I417" s="12">
        <v>4.0</v>
      </c>
      <c r="J417" s="12">
        <v>4.0</v>
      </c>
      <c r="K417" s="12">
        <v>4.0</v>
      </c>
      <c r="L417" s="12">
        <v>4.0</v>
      </c>
      <c r="M417" s="12">
        <v>4.0</v>
      </c>
      <c r="N417" s="12">
        <v>4.0</v>
      </c>
      <c r="O417" s="12">
        <v>4.0</v>
      </c>
      <c r="P417" s="12">
        <v>8.0</v>
      </c>
      <c r="Q417" s="12" t="s">
        <v>44</v>
      </c>
      <c r="R417" s="12" t="s">
        <v>374</v>
      </c>
      <c r="T417" s="15">
        <v>0.0</v>
      </c>
    </row>
    <row r="418" ht="22.5" customHeight="1">
      <c r="A418" s="11">
        <v>46303.48319831019</v>
      </c>
      <c r="H418" s="12">
        <v>3.0</v>
      </c>
      <c r="I418" s="12">
        <v>3.0</v>
      </c>
      <c r="J418" s="12">
        <v>4.0</v>
      </c>
      <c r="K418" s="12">
        <v>2.0</v>
      </c>
      <c r="L418" s="12">
        <v>3.0</v>
      </c>
      <c r="M418" s="12">
        <v>3.0</v>
      </c>
      <c r="N418" s="12">
        <v>3.0</v>
      </c>
      <c r="O418" s="12">
        <v>3.0</v>
      </c>
      <c r="P418" s="12">
        <v>4.0</v>
      </c>
      <c r="Q418" s="12" t="s">
        <v>44</v>
      </c>
      <c r="R418" s="12" t="s">
        <v>375</v>
      </c>
      <c r="T418" s="15">
        <v>0.0</v>
      </c>
    </row>
    <row r="419" ht="22.5" customHeight="1">
      <c r="A419" s="11">
        <v>46303.483503888885</v>
      </c>
      <c r="H419" s="12">
        <v>5.0</v>
      </c>
      <c r="I419" s="12">
        <v>5.0</v>
      </c>
      <c r="J419" s="12">
        <v>5.0</v>
      </c>
      <c r="K419" s="12">
        <v>5.0</v>
      </c>
      <c r="L419" s="12">
        <v>5.0</v>
      </c>
      <c r="M419" s="12">
        <v>5.0</v>
      </c>
      <c r="N419" s="12">
        <v>5.0</v>
      </c>
      <c r="O419" s="12">
        <v>5.0</v>
      </c>
      <c r="P419" s="12">
        <v>10.0</v>
      </c>
      <c r="T419" s="15">
        <v>0.0</v>
      </c>
    </row>
    <row r="420" ht="22.5" customHeight="1">
      <c r="A420" s="11">
        <v>46303.48362341435</v>
      </c>
      <c r="H420" s="12">
        <v>5.0</v>
      </c>
      <c r="I420" s="12">
        <v>5.0</v>
      </c>
      <c r="J420" s="12">
        <v>5.0</v>
      </c>
      <c r="K420" s="12">
        <v>5.0</v>
      </c>
      <c r="L420" s="12">
        <v>5.0</v>
      </c>
      <c r="M420" s="12">
        <v>5.0</v>
      </c>
      <c r="N420" s="12">
        <v>5.0</v>
      </c>
      <c r="O420" s="12">
        <v>5.0</v>
      </c>
      <c r="P420" s="12">
        <v>7.0</v>
      </c>
      <c r="Q420" s="12" t="s">
        <v>376</v>
      </c>
      <c r="R420" s="12" t="s">
        <v>377</v>
      </c>
      <c r="T420" s="15">
        <v>0.0</v>
      </c>
    </row>
    <row r="421" ht="22.5" customHeight="1">
      <c r="A421" s="11">
        <v>46303.48382980324</v>
      </c>
      <c r="H421" s="12">
        <v>4.0</v>
      </c>
      <c r="I421" s="12">
        <v>5.0</v>
      </c>
      <c r="J421" s="12">
        <v>5.0</v>
      </c>
      <c r="K421" s="12">
        <v>5.0</v>
      </c>
      <c r="L421" s="12">
        <v>4.0</v>
      </c>
      <c r="M421" s="12">
        <v>5.0</v>
      </c>
      <c r="N421" s="12">
        <v>5.0</v>
      </c>
      <c r="O421" s="12">
        <v>5.0</v>
      </c>
      <c r="P421" s="12">
        <v>10.0</v>
      </c>
      <c r="Q421" s="12" t="s">
        <v>378</v>
      </c>
      <c r="R421" s="12" t="s">
        <v>379</v>
      </c>
      <c r="T421" s="15">
        <v>0.0</v>
      </c>
    </row>
    <row r="422" ht="22.5" customHeight="1">
      <c r="A422" s="11">
        <v>46303.48409195602</v>
      </c>
      <c r="H422" s="12">
        <v>4.0</v>
      </c>
      <c r="I422" s="12">
        <v>4.0</v>
      </c>
      <c r="J422" s="12">
        <v>4.0</v>
      </c>
      <c r="K422" s="12">
        <v>4.0</v>
      </c>
      <c r="L422" s="12">
        <v>4.0</v>
      </c>
      <c r="M422" s="12">
        <v>4.0</v>
      </c>
      <c r="N422" s="12">
        <v>4.0</v>
      </c>
      <c r="O422" s="12">
        <v>4.0</v>
      </c>
      <c r="P422" s="12">
        <v>9.0</v>
      </c>
      <c r="T422" s="15">
        <v>0.0</v>
      </c>
    </row>
    <row r="423" ht="22.5" customHeight="1">
      <c r="A423" s="11">
        <v>46303.48463225694</v>
      </c>
      <c r="H423" s="12">
        <v>2.0</v>
      </c>
      <c r="I423" s="12">
        <v>2.0</v>
      </c>
      <c r="J423" s="12">
        <v>2.0</v>
      </c>
      <c r="K423" s="12">
        <v>2.0</v>
      </c>
      <c r="L423" s="12">
        <v>2.0</v>
      </c>
      <c r="M423" s="12">
        <v>2.0</v>
      </c>
      <c r="N423" s="12">
        <v>3.0</v>
      </c>
      <c r="O423" s="12">
        <v>2.0</v>
      </c>
      <c r="P423" s="12">
        <v>2.0</v>
      </c>
      <c r="Q423" s="12" t="s">
        <v>206</v>
      </c>
      <c r="R423" s="12" t="s">
        <v>206</v>
      </c>
      <c r="T423" s="15">
        <v>0.0</v>
      </c>
    </row>
    <row r="424" ht="22.5" customHeight="1">
      <c r="A424" s="11">
        <v>46303.48476128472</v>
      </c>
      <c r="H424" s="12">
        <v>5.0</v>
      </c>
      <c r="I424" s="12">
        <v>5.0</v>
      </c>
      <c r="J424" s="12">
        <v>5.0</v>
      </c>
      <c r="K424" s="12">
        <v>5.0</v>
      </c>
      <c r="L424" s="12">
        <v>5.0</v>
      </c>
      <c r="M424" s="12">
        <v>5.0</v>
      </c>
      <c r="N424" s="12">
        <v>5.0</v>
      </c>
      <c r="O424" s="12">
        <v>5.0</v>
      </c>
      <c r="P424" s="12">
        <v>10.0</v>
      </c>
      <c r="T424" s="15">
        <v>0.0</v>
      </c>
    </row>
    <row r="425" ht="22.5" customHeight="1">
      <c r="A425" s="11">
        <v>46303.484829918976</v>
      </c>
      <c r="H425" s="12">
        <v>1.0</v>
      </c>
      <c r="I425" s="12">
        <v>2.0</v>
      </c>
      <c r="J425" s="12">
        <v>2.0</v>
      </c>
      <c r="K425" s="12">
        <v>2.0</v>
      </c>
      <c r="L425" s="12">
        <v>2.0</v>
      </c>
      <c r="M425" s="12">
        <v>2.0</v>
      </c>
      <c r="O425" s="12">
        <v>2.0</v>
      </c>
      <c r="P425" s="12">
        <v>2.0</v>
      </c>
      <c r="T425" s="15">
        <v>0.0</v>
      </c>
    </row>
    <row r="426" ht="22.5" customHeight="1">
      <c r="A426" s="11">
        <v>46303.48503347222</v>
      </c>
      <c r="H426" s="12">
        <v>5.0</v>
      </c>
      <c r="I426" s="12">
        <v>5.0</v>
      </c>
      <c r="J426" s="12">
        <v>5.0</v>
      </c>
      <c r="K426" s="12">
        <v>5.0</v>
      </c>
      <c r="L426" s="12">
        <v>5.0</v>
      </c>
      <c r="M426" s="12">
        <v>5.0</v>
      </c>
      <c r="N426" s="12">
        <v>5.0</v>
      </c>
      <c r="O426" s="12">
        <v>5.0</v>
      </c>
      <c r="P426" s="12">
        <v>10.0</v>
      </c>
      <c r="Q426" s="12" t="s">
        <v>44</v>
      </c>
      <c r="R426" s="12" t="s">
        <v>71</v>
      </c>
      <c r="T426" s="15">
        <v>0.0</v>
      </c>
      <c r="U426" s="12" t="s">
        <v>380</v>
      </c>
      <c r="V426" s="14"/>
    </row>
    <row r="427" ht="22.5" customHeight="1">
      <c r="A427" s="11">
        <v>46303.48515972222</v>
      </c>
      <c r="H427" s="12">
        <v>4.0</v>
      </c>
      <c r="I427" s="12">
        <v>3.0</v>
      </c>
      <c r="J427" s="12">
        <v>4.0</v>
      </c>
      <c r="K427" s="12">
        <v>4.0</v>
      </c>
      <c r="L427" s="12">
        <v>5.0</v>
      </c>
      <c r="M427" s="12">
        <v>5.0</v>
      </c>
      <c r="N427" s="12">
        <v>4.0</v>
      </c>
      <c r="O427" s="12">
        <v>5.0</v>
      </c>
      <c r="P427" s="12">
        <v>9.0</v>
      </c>
      <c r="Q427" s="12" t="s">
        <v>381</v>
      </c>
      <c r="R427" s="12" t="s">
        <v>382</v>
      </c>
      <c r="T427" s="15">
        <v>0.0</v>
      </c>
    </row>
    <row r="428" ht="22.5" customHeight="1">
      <c r="A428" s="11">
        <v>46303.48539804398</v>
      </c>
      <c r="H428" s="12">
        <v>5.0</v>
      </c>
      <c r="I428" s="12">
        <v>4.0</v>
      </c>
      <c r="J428" s="12">
        <v>5.0</v>
      </c>
      <c r="K428" s="12">
        <v>5.0</v>
      </c>
      <c r="L428" s="12">
        <v>5.0</v>
      </c>
      <c r="M428" s="12">
        <v>5.0</v>
      </c>
      <c r="N428" s="12">
        <v>4.0</v>
      </c>
      <c r="O428" s="12">
        <v>5.0</v>
      </c>
      <c r="P428" s="12">
        <v>7.0</v>
      </c>
      <c r="Q428" s="12" t="s">
        <v>44</v>
      </c>
      <c r="R428" s="12" t="s">
        <v>383</v>
      </c>
      <c r="T428" s="15">
        <v>0.0</v>
      </c>
    </row>
    <row r="429" ht="22.5" customHeight="1">
      <c r="A429" s="11">
        <v>46303.48669020833</v>
      </c>
      <c r="H429" s="12">
        <v>3.0</v>
      </c>
      <c r="I429" s="12">
        <v>5.0</v>
      </c>
      <c r="J429" s="12">
        <v>5.0</v>
      </c>
      <c r="K429" s="12">
        <v>4.0</v>
      </c>
      <c r="L429" s="12">
        <v>5.0</v>
      </c>
      <c r="M429" s="12">
        <v>5.0</v>
      </c>
      <c r="N429" s="12">
        <v>4.0</v>
      </c>
      <c r="O429" s="12">
        <v>5.0</v>
      </c>
      <c r="P429" s="12">
        <v>10.0</v>
      </c>
      <c r="T429" s="15">
        <v>0.0</v>
      </c>
      <c r="U429" s="12" t="s">
        <v>384</v>
      </c>
      <c r="V429" s="14"/>
    </row>
    <row r="430" ht="22.5" customHeight="1">
      <c r="A430" s="11">
        <v>46303.48699253472</v>
      </c>
      <c r="H430" s="12">
        <v>5.0</v>
      </c>
      <c r="I430" s="12">
        <v>5.0</v>
      </c>
      <c r="J430" s="12">
        <v>5.0</v>
      </c>
      <c r="K430" s="12">
        <v>5.0</v>
      </c>
      <c r="L430" s="12">
        <v>5.0</v>
      </c>
      <c r="N430" s="12">
        <v>5.0</v>
      </c>
      <c r="O430" s="12">
        <v>5.0</v>
      </c>
      <c r="P430" s="12">
        <v>10.0</v>
      </c>
      <c r="Q430" s="12" t="s">
        <v>44</v>
      </c>
      <c r="R430" s="12" t="s">
        <v>76</v>
      </c>
      <c r="T430" s="15">
        <v>0.0</v>
      </c>
      <c r="U430" s="12" t="s">
        <v>385</v>
      </c>
      <c r="V430" s="14"/>
    </row>
    <row r="431" ht="22.5" customHeight="1">
      <c r="A431" s="11">
        <v>46303.48705979167</v>
      </c>
      <c r="H431" s="12">
        <v>1.0</v>
      </c>
      <c r="I431" s="12">
        <v>2.0</v>
      </c>
      <c r="J431" s="12">
        <v>4.0</v>
      </c>
      <c r="K431" s="12">
        <v>4.0</v>
      </c>
      <c r="L431" s="12">
        <v>3.0</v>
      </c>
      <c r="M431" s="12">
        <v>1.0</v>
      </c>
      <c r="N431" s="12">
        <v>2.0</v>
      </c>
      <c r="O431" s="12">
        <v>1.0</v>
      </c>
      <c r="P431" s="12">
        <v>5.0</v>
      </c>
      <c r="T431" s="15">
        <v>0.0</v>
      </c>
    </row>
    <row r="432" ht="22.5" customHeight="1">
      <c r="A432" s="11">
        <v>46303.48710381944</v>
      </c>
      <c r="H432" s="12">
        <v>4.0</v>
      </c>
      <c r="I432" s="12">
        <v>4.0</v>
      </c>
      <c r="J432" s="12">
        <v>4.0</v>
      </c>
      <c r="K432" s="12">
        <v>4.0</v>
      </c>
      <c r="L432" s="12">
        <v>4.0</v>
      </c>
      <c r="M432" s="12">
        <v>4.0</v>
      </c>
      <c r="N432" s="12">
        <v>4.0</v>
      </c>
      <c r="O432" s="12">
        <v>4.0</v>
      </c>
      <c r="P432" s="12">
        <v>8.0</v>
      </c>
      <c r="Q432" s="12" t="s">
        <v>386</v>
      </c>
      <c r="R432" s="12" t="s">
        <v>387</v>
      </c>
      <c r="T432" s="15">
        <v>0.0</v>
      </c>
      <c r="U432" s="12" t="s">
        <v>71</v>
      </c>
      <c r="V432" s="14"/>
    </row>
    <row r="433" ht="22.5" customHeight="1">
      <c r="A433" s="11">
        <v>46303.4874355787</v>
      </c>
      <c r="H433" s="12">
        <v>4.0</v>
      </c>
      <c r="I433" s="12">
        <v>5.0</v>
      </c>
      <c r="J433" s="12">
        <v>5.0</v>
      </c>
      <c r="K433" s="12">
        <v>5.0</v>
      </c>
      <c r="L433" s="12">
        <v>4.0</v>
      </c>
      <c r="M433" s="12">
        <v>5.0</v>
      </c>
      <c r="N433" s="12">
        <v>5.0</v>
      </c>
      <c r="O433" s="12">
        <v>4.0</v>
      </c>
      <c r="P433" s="12">
        <v>10.0</v>
      </c>
      <c r="T433" s="15">
        <v>0.0</v>
      </c>
    </row>
    <row r="434" ht="22.5" customHeight="1">
      <c r="A434" s="11">
        <v>46303.48807076389</v>
      </c>
      <c r="H434" s="12">
        <v>4.0</v>
      </c>
      <c r="I434" s="12">
        <v>4.0</v>
      </c>
      <c r="J434" s="12">
        <v>4.0</v>
      </c>
      <c r="K434" s="12">
        <v>4.0</v>
      </c>
      <c r="L434" s="12">
        <v>5.0</v>
      </c>
      <c r="M434" s="12">
        <v>4.0</v>
      </c>
      <c r="N434" s="12">
        <v>3.0</v>
      </c>
      <c r="O434" s="12">
        <v>4.0</v>
      </c>
      <c r="P434" s="12">
        <v>7.0</v>
      </c>
      <c r="Q434" s="12" t="s">
        <v>388</v>
      </c>
      <c r="R434" s="12" t="s">
        <v>389</v>
      </c>
      <c r="T434" s="15">
        <v>0.0</v>
      </c>
    </row>
    <row r="435" ht="22.5" customHeight="1">
      <c r="A435" s="11">
        <v>46303.48818436342</v>
      </c>
      <c r="H435" s="12">
        <v>4.0</v>
      </c>
      <c r="I435" s="12">
        <v>4.0</v>
      </c>
      <c r="J435" s="12">
        <v>5.0</v>
      </c>
      <c r="K435" s="12">
        <v>5.0</v>
      </c>
      <c r="L435" s="12">
        <v>5.0</v>
      </c>
      <c r="M435" s="12">
        <v>5.0</v>
      </c>
      <c r="N435" s="12">
        <v>5.0</v>
      </c>
      <c r="O435" s="12">
        <v>5.0</v>
      </c>
      <c r="P435" s="12">
        <v>10.0</v>
      </c>
      <c r="Q435" s="12" t="s">
        <v>390</v>
      </c>
      <c r="R435" s="12" t="s">
        <v>391</v>
      </c>
      <c r="T435" s="15">
        <v>0.0</v>
      </c>
    </row>
    <row r="436" ht="22.5" customHeight="1">
      <c r="A436" s="11">
        <v>46303.48927738426</v>
      </c>
      <c r="H436" s="12">
        <v>5.0</v>
      </c>
      <c r="I436" s="12">
        <v>5.0</v>
      </c>
      <c r="J436" s="12">
        <v>5.0</v>
      </c>
      <c r="K436" s="12">
        <v>5.0</v>
      </c>
      <c r="L436" s="12">
        <v>5.0</v>
      </c>
      <c r="M436" s="12">
        <v>5.0</v>
      </c>
      <c r="N436" s="12">
        <v>5.0</v>
      </c>
      <c r="O436" s="12">
        <v>5.0</v>
      </c>
      <c r="P436" s="12">
        <v>10.0</v>
      </c>
      <c r="Q436" s="12" t="s">
        <v>44</v>
      </c>
      <c r="T436" s="15">
        <v>0.0</v>
      </c>
      <c r="U436" s="12" t="s">
        <v>362</v>
      </c>
      <c r="V436" s="14"/>
    </row>
    <row r="437" ht="22.5" customHeight="1">
      <c r="A437" s="11">
        <v>46303.489657997685</v>
      </c>
      <c r="I437" s="12">
        <v>4.0</v>
      </c>
      <c r="J437" s="12">
        <v>5.0</v>
      </c>
      <c r="K437" s="12">
        <v>5.0</v>
      </c>
      <c r="L437" s="12">
        <v>4.0</v>
      </c>
      <c r="M437" s="12">
        <v>5.0</v>
      </c>
      <c r="N437" s="12">
        <v>5.0</v>
      </c>
      <c r="O437" s="12">
        <v>5.0</v>
      </c>
      <c r="P437" s="12">
        <v>9.0</v>
      </c>
      <c r="T437" s="15">
        <v>0.0</v>
      </c>
    </row>
    <row r="438" ht="22.5" customHeight="1">
      <c r="A438" s="11">
        <v>46303.49003526621</v>
      </c>
      <c r="H438" s="12">
        <v>5.0</v>
      </c>
      <c r="I438" s="12">
        <v>5.0</v>
      </c>
      <c r="J438" s="12">
        <v>4.0</v>
      </c>
      <c r="K438" s="12">
        <v>5.0</v>
      </c>
      <c r="L438" s="12">
        <v>5.0</v>
      </c>
      <c r="M438" s="12">
        <v>5.0</v>
      </c>
      <c r="N438" s="12">
        <v>5.0</v>
      </c>
      <c r="O438" s="12">
        <v>5.0</v>
      </c>
      <c r="P438" s="12">
        <v>10.0</v>
      </c>
      <c r="Q438" s="12" t="s">
        <v>44</v>
      </c>
      <c r="R438" s="12" t="s">
        <v>392</v>
      </c>
      <c r="T438" s="15">
        <v>0.0</v>
      </c>
      <c r="U438" s="12" t="s">
        <v>362</v>
      </c>
      <c r="V438" s="14"/>
    </row>
    <row r="439" ht="22.5" customHeight="1">
      <c r="A439" s="11">
        <v>46303.491716006945</v>
      </c>
      <c r="H439" s="12">
        <v>5.0</v>
      </c>
      <c r="I439" s="12">
        <v>5.0</v>
      </c>
      <c r="J439" s="12">
        <v>4.0</v>
      </c>
      <c r="K439" s="12">
        <v>4.0</v>
      </c>
      <c r="L439" s="12">
        <v>5.0</v>
      </c>
      <c r="M439" s="12">
        <v>4.0</v>
      </c>
      <c r="N439" s="12">
        <v>4.0</v>
      </c>
      <c r="O439" s="12">
        <v>3.0</v>
      </c>
      <c r="P439" s="12">
        <v>10.0</v>
      </c>
      <c r="Q439" s="12" t="s">
        <v>38</v>
      </c>
      <c r="R439" s="12" t="s">
        <v>393</v>
      </c>
      <c r="T439" s="15">
        <v>0.0</v>
      </c>
      <c r="U439" s="12" t="s">
        <v>394</v>
      </c>
      <c r="V439" s="14"/>
    </row>
    <row r="440" ht="22.5" customHeight="1">
      <c r="A440" s="11">
        <v>46303.491952384255</v>
      </c>
      <c r="H440" s="12">
        <v>4.0</v>
      </c>
      <c r="I440" s="12">
        <v>4.0</v>
      </c>
      <c r="J440" s="12">
        <v>5.0</v>
      </c>
      <c r="K440" s="12">
        <v>5.0</v>
      </c>
      <c r="L440" s="12">
        <v>5.0</v>
      </c>
      <c r="M440" s="12">
        <v>5.0</v>
      </c>
      <c r="N440" s="12">
        <v>5.0</v>
      </c>
      <c r="O440" s="12">
        <v>5.0</v>
      </c>
      <c r="P440" s="12">
        <v>10.0</v>
      </c>
      <c r="Q440" s="12" t="s">
        <v>38</v>
      </c>
      <c r="R440" s="12" t="s">
        <v>395</v>
      </c>
      <c r="T440" s="15">
        <v>0.0</v>
      </c>
    </row>
    <row r="441" ht="22.5" customHeight="1">
      <c r="A441" s="11">
        <v>46303.49197162037</v>
      </c>
      <c r="H441" s="12">
        <v>5.0</v>
      </c>
      <c r="I441" s="12">
        <v>5.0</v>
      </c>
      <c r="J441" s="12">
        <v>5.0</v>
      </c>
      <c r="K441" s="12">
        <v>5.0</v>
      </c>
      <c r="L441" s="12">
        <v>5.0</v>
      </c>
      <c r="M441" s="12">
        <v>5.0</v>
      </c>
      <c r="N441" s="12">
        <v>5.0</v>
      </c>
      <c r="O441" s="12">
        <v>5.0</v>
      </c>
      <c r="P441" s="12">
        <v>10.0</v>
      </c>
      <c r="Q441" s="12" t="s">
        <v>41</v>
      </c>
      <c r="R441" s="12" t="s">
        <v>41</v>
      </c>
      <c r="T441" s="15">
        <v>0.0</v>
      </c>
      <c r="U441" s="12" t="s">
        <v>396</v>
      </c>
      <c r="V441" s="14"/>
    </row>
    <row r="442" ht="22.5" customHeight="1">
      <c r="A442" s="11">
        <v>46303.49269770834</v>
      </c>
      <c r="H442" s="12">
        <v>3.0</v>
      </c>
      <c r="I442" s="12">
        <v>3.0</v>
      </c>
      <c r="J442" s="12">
        <v>4.0</v>
      </c>
      <c r="K442" s="12">
        <v>4.0</v>
      </c>
      <c r="L442" s="12">
        <v>3.0</v>
      </c>
      <c r="M442" s="12">
        <v>3.0</v>
      </c>
      <c r="N442" s="12">
        <v>3.0</v>
      </c>
      <c r="O442" s="12">
        <v>4.0</v>
      </c>
      <c r="P442" s="12">
        <v>7.0</v>
      </c>
      <c r="T442" s="15">
        <v>0.0</v>
      </c>
    </row>
    <row r="443" ht="22.5" customHeight="1">
      <c r="A443" s="11">
        <v>46303.49272846065</v>
      </c>
      <c r="H443" s="12">
        <v>2.0</v>
      </c>
      <c r="I443" s="12">
        <v>2.0</v>
      </c>
      <c r="J443" s="12">
        <v>2.0</v>
      </c>
      <c r="K443" s="12">
        <v>3.0</v>
      </c>
      <c r="L443" s="12">
        <v>3.0</v>
      </c>
      <c r="M443" s="12">
        <v>3.0</v>
      </c>
      <c r="N443" s="12">
        <v>3.0</v>
      </c>
      <c r="O443" s="12">
        <v>2.0</v>
      </c>
      <c r="P443" s="12">
        <v>5.0</v>
      </c>
      <c r="T443" s="15">
        <v>0.0</v>
      </c>
    </row>
    <row r="444" ht="22.5" customHeight="1">
      <c r="A444" s="11">
        <v>46303.49275372685</v>
      </c>
      <c r="H444" s="12">
        <v>3.0</v>
      </c>
      <c r="I444" s="12">
        <v>3.0</v>
      </c>
      <c r="J444" s="12">
        <v>4.0</v>
      </c>
      <c r="K444" s="12">
        <v>3.0</v>
      </c>
      <c r="L444" s="12">
        <v>4.0</v>
      </c>
      <c r="M444" s="12">
        <v>4.0</v>
      </c>
      <c r="N444" s="12">
        <v>4.0</v>
      </c>
      <c r="O444" s="12">
        <v>4.0</v>
      </c>
      <c r="P444" s="12">
        <v>7.0</v>
      </c>
      <c r="Q444" s="12" t="s">
        <v>41</v>
      </c>
      <c r="R444" s="12" t="s">
        <v>41</v>
      </c>
      <c r="T444" s="15">
        <v>0.0</v>
      </c>
    </row>
    <row r="445" ht="22.5" customHeight="1">
      <c r="A445" s="11">
        <v>46303.49284385417</v>
      </c>
      <c r="H445" s="12">
        <v>3.0</v>
      </c>
      <c r="I445" s="12">
        <v>4.0</v>
      </c>
      <c r="J445" s="12">
        <v>3.0</v>
      </c>
      <c r="K445" s="12">
        <v>4.0</v>
      </c>
      <c r="L445" s="12">
        <v>3.0</v>
      </c>
      <c r="M445" s="12">
        <v>3.0</v>
      </c>
      <c r="N445" s="12">
        <v>4.0</v>
      </c>
      <c r="O445" s="12">
        <v>4.0</v>
      </c>
      <c r="P445" s="12">
        <v>8.0</v>
      </c>
      <c r="Q445" s="12" t="s">
        <v>397</v>
      </c>
      <c r="T445" s="15">
        <v>0.0</v>
      </c>
    </row>
    <row r="446" ht="22.5" customHeight="1">
      <c r="A446" s="11">
        <v>46303.49307710648</v>
      </c>
      <c r="H446" s="12">
        <v>4.0</v>
      </c>
      <c r="I446" s="12">
        <v>4.0</v>
      </c>
      <c r="J446" s="12">
        <v>5.0</v>
      </c>
      <c r="K446" s="12">
        <v>4.0</v>
      </c>
      <c r="L446" s="12">
        <v>4.0</v>
      </c>
      <c r="M446" s="12">
        <v>4.0</v>
      </c>
      <c r="N446" s="12">
        <v>4.0</v>
      </c>
      <c r="O446" s="12">
        <v>4.0</v>
      </c>
      <c r="P446" s="12">
        <v>8.0</v>
      </c>
      <c r="Q446" s="12" t="s">
        <v>398</v>
      </c>
      <c r="R446" s="12" t="s">
        <v>399</v>
      </c>
      <c r="T446" s="15">
        <v>0.0</v>
      </c>
    </row>
    <row r="447" ht="22.5" customHeight="1">
      <c r="A447" s="11">
        <v>46303.493630324076</v>
      </c>
      <c r="H447" s="12">
        <v>3.0</v>
      </c>
      <c r="I447" s="12">
        <v>3.0</v>
      </c>
      <c r="J447" s="12">
        <v>3.0</v>
      </c>
      <c r="K447" s="12">
        <v>3.0</v>
      </c>
      <c r="L447" s="12">
        <v>3.0</v>
      </c>
      <c r="M447" s="12">
        <v>3.0</v>
      </c>
      <c r="N447" s="12">
        <v>3.0</v>
      </c>
      <c r="O447" s="12">
        <v>3.0</v>
      </c>
      <c r="P447" s="12">
        <v>5.0</v>
      </c>
      <c r="Q447" s="12" t="s">
        <v>44</v>
      </c>
      <c r="R447" s="12" t="s">
        <v>400</v>
      </c>
      <c r="T447" s="15">
        <v>0.0</v>
      </c>
    </row>
    <row r="448" ht="22.5" customHeight="1">
      <c r="A448" s="11">
        <v>46303.494524988426</v>
      </c>
      <c r="H448" s="12">
        <v>4.0</v>
      </c>
      <c r="I448" s="12">
        <v>5.0</v>
      </c>
      <c r="J448" s="12">
        <v>5.0</v>
      </c>
      <c r="K448" s="12">
        <v>5.0</v>
      </c>
      <c r="L448" s="12">
        <v>4.0</v>
      </c>
      <c r="M448" s="12">
        <v>5.0</v>
      </c>
      <c r="N448" s="12">
        <v>4.0</v>
      </c>
      <c r="O448" s="12">
        <v>5.0</v>
      </c>
      <c r="P448" s="12">
        <v>10.0</v>
      </c>
      <c r="Q448" s="12" t="s">
        <v>401</v>
      </c>
      <c r="R448" s="12" t="s">
        <v>402</v>
      </c>
      <c r="T448" s="15">
        <v>0.0</v>
      </c>
    </row>
    <row r="449" ht="22.5" customHeight="1">
      <c r="A449" s="11">
        <v>46303.496564560184</v>
      </c>
      <c r="H449" s="12">
        <v>3.0</v>
      </c>
      <c r="I449" s="12">
        <v>3.0</v>
      </c>
      <c r="J449" s="12">
        <v>3.0</v>
      </c>
      <c r="K449" s="12">
        <v>3.0</v>
      </c>
      <c r="L449" s="12">
        <v>2.0</v>
      </c>
      <c r="M449" s="12">
        <v>3.0</v>
      </c>
      <c r="N449" s="12">
        <v>3.0</v>
      </c>
      <c r="O449" s="12">
        <v>3.0</v>
      </c>
      <c r="P449" s="12">
        <v>7.0</v>
      </c>
      <c r="T449" s="15">
        <v>0.0</v>
      </c>
    </row>
    <row r="450" ht="22.5" customHeight="1">
      <c r="A450" s="11">
        <v>46303.49782431713</v>
      </c>
      <c r="H450" s="12">
        <v>5.0</v>
      </c>
      <c r="I450" s="12">
        <v>5.0</v>
      </c>
      <c r="J450" s="12">
        <v>5.0</v>
      </c>
      <c r="K450" s="12">
        <v>5.0</v>
      </c>
      <c r="L450" s="12">
        <v>5.0</v>
      </c>
      <c r="M450" s="12">
        <v>5.0</v>
      </c>
      <c r="N450" s="12">
        <v>5.0</v>
      </c>
      <c r="O450" s="12">
        <v>5.0</v>
      </c>
      <c r="P450" s="12">
        <v>10.0</v>
      </c>
      <c r="T450" s="15">
        <v>0.0</v>
      </c>
    </row>
    <row r="451" ht="22.5" customHeight="1">
      <c r="A451" s="11">
        <v>46303.49824626157</v>
      </c>
      <c r="H451" s="12">
        <v>3.0</v>
      </c>
      <c r="I451" s="12">
        <v>3.0</v>
      </c>
      <c r="J451" s="12">
        <v>3.0</v>
      </c>
      <c r="K451" s="12">
        <v>3.0</v>
      </c>
      <c r="L451" s="12">
        <v>3.0</v>
      </c>
      <c r="M451" s="12">
        <v>3.0</v>
      </c>
      <c r="N451" s="12">
        <v>3.0</v>
      </c>
      <c r="O451" s="12">
        <v>3.0</v>
      </c>
      <c r="P451" s="12">
        <v>5.0</v>
      </c>
      <c r="T451" s="15">
        <v>0.0</v>
      </c>
    </row>
    <row r="452" ht="22.5" customHeight="1">
      <c r="A452" s="11">
        <v>46303.49896469907</v>
      </c>
      <c r="I452" s="12">
        <v>3.0</v>
      </c>
      <c r="J452" s="12">
        <v>3.0</v>
      </c>
      <c r="L452" s="12">
        <v>3.0</v>
      </c>
      <c r="M452" s="12">
        <v>3.0</v>
      </c>
      <c r="N452" s="12">
        <v>3.0</v>
      </c>
      <c r="P452" s="12">
        <v>7.0</v>
      </c>
      <c r="T452" s="15">
        <v>0.0</v>
      </c>
    </row>
    <row r="453" ht="22.5" customHeight="1">
      <c r="A453" s="11">
        <v>46303.500681157406</v>
      </c>
      <c r="H453" s="12">
        <v>4.0</v>
      </c>
      <c r="I453" s="12">
        <v>4.0</v>
      </c>
      <c r="J453" s="12">
        <v>4.0</v>
      </c>
      <c r="K453" s="12">
        <v>4.0</v>
      </c>
      <c r="L453" s="12">
        <v>5.0</v>
      </c>
      <c r="M453" s="12">
        <v>4.0</v>
      </c>
      <c r="N453" s="12">
        <v>5.0</v>
      </c>
      <c r="O453" s="12">
        <v>5.0</v>
      </c>
      <c r="P453" s="12">
        <v>9.0</v>
      </c>
      <c r="T453" s="15">
        <v>0.0</v>
      </c>
    </row>
    <row r="454" ht="22.5" customHeight="1">
      <c r="A454" s="11">
        <v>46303.50408381944</v>
      </c>
      <c r="H454" s="12">
        <v>4.0</v>
      </c>
      <c r="I454" s="12">
        <v>5.0</v>
      </c>
      <c r="J454" s="12">
        <v>5.0</v>
      </c>
      <c r="K454" s="12">
        <v>5.0</v>
      </c>
      <c r="L454" s="12">
        <v>5.0</v>
      </c>
      <c r="M454" s="12">
        <v>5.0</v>
      </c>
      <c r="N454" s="12">
        <v>5.0</v>
      </c>
      <c r="O454" s="12">
        <v>5.0</v>
      </c>
      <c r="P454" s="12">
        <v>9.0</v>
      </c>
      <c r="T454" s="15">
        <v>0.0</v>
      </c>
    </row>
    <row r="455" ht="22.5" customHeight="1">
      <c r="A455" s="11">
        <v>46303.504913125</v>
      </c>
      <c r="H455" s="12">
        <v>5.0</v>
      </c>
      <c r="I455" s="12">
        <v>5.0</v>
      </c>
      <c r="J455" s="12">
        <v>5.0</v>
      </c>
      <c r="K455" s="12">
        <v>5.0</v>
      </c>
      <c r="L455" s="12">
        <v>5.0</v>
      </c>
      <c r="M455" s="12">
        <v>5.0</v>
      </c>
      <c r="N455" s="12">
        <v>5.0</v>
      </c>
      <c r="O455" s="12">
        <v>5.0</v>
      </c>
      <c r="P455" s="12">
        <v>9.0</v>
      </c>
      <c r="Q455" s="12" t="s">
        <v>403</v>
      </c>
      <c r="R455" s="12" t="s">
        <v>395</v>
      </c>
      <c r="T455" s="15">
        <v>0.0</v>
      </c>
      <c r="U455" s="12" t="s">
        <v>404</v>
      </c>
      <c r="V455" s="14"/>
    </row>
    <row r="456" ht="22.5" customHeight="1">
      <c r="A456" s="11">
        <v>46303.505591678244</v>
      </c>
      <c r="H456" s="12">
        <v>4.0</v>
      </c>
      <c r="I456" s="12">
        <v>4.0</v>
      </c>
      <c r="J456" s="12">
        <v>5.0</v>
      </c>
      <c r="K456" s="12">
        <v>4.0</v>
      </c>
      <c r="L456" s="12">
        <v>5.0</v>
      </c>
      <c r="M456" s="12">
        <v>5.0</v>
      </c>
      <c r="N456" s="12">
        <v>5.0</v>
      </c>
      <c r="O456" s="12">
        <v>4.0</v>
      </c>
      <c r="P456" s="12">
        <v>8.0</v>
      </c>
      <c r="Q456" s="12" t="s">
        <v>405</v>
      </c>
      <c r="R456" s="12" t="s">
        <v>66</v>
      </c>
      <c r="T456" s="15">
        <v>0.0</v>
      </c>
    </row>
    <row r="457" ht="22.5" customHeight="1">
      <c r="A457" s="11">
        <v>46303.505896828705</v>
      </c>
      <c r="H457" s="12">
        <v>5.0</v>
      </c>
      <c r="I457" s="12">
        <v>4.0</v>
      </c>
      <c r="J457" s="12">
        <v>4.0</v>
      </c>
      <c r="K457" s="12">
        <v>4.0</v>
      </c>
      <c r="L457" s="12">
        <v>5.0</v>
      </c>
      <c r="M457" s="12">
        <v>5.0</v>
      </c>
      <c r="N457" s="12">
        <v>5.0</v>
      </c>
      <c r="O457" s="12">
        <v>4.0</v>
      </c>
      <c r="P457" s="12">
        <v>7.0</v>
      </c>
      <c r="Q457" s="12" t="s">
        <v>38</v>
      </c>
      <c r="R457" s="12" t="s">
        <v>38</v>
      </c>
      <c r="T457" s="15">
        <v>0.0</v>
      </c>
    </row>
    <row r="458" ht="22.5" customHeight="1">
      <c r="A458" s="11">
        <v>46303.50660511574</v>
      </c>
      <c r="H458" s="12">
        <v>3.0</v>
      </c>
      <c r="I458" s="12">
        <v>2.0</v>
      </c>
      <c r="J458" s="12">
        <v>5.0</v>
      </c>
      <c r="K458" s="12">
        <v>2.0</v>
      </c>
      <c r="L458" s="12">
        <v>5.0</v>
      </c>
      <c r="M458" s="12">
        <v>5.0</v>
      </c>
      <c r="N458" s="12">
        <v>3.0</v>
      </c>
      <c r="O458" s="12">
        <v>4.0</v>
      </c>
      <c r="P458" s="12">
        <v>8.0</v>
      </c>
      <c r="T458" s="15">
        <v>0.0</v>
      </c>
    </row>
    <row r="459" ht="22.5" customHeight="1">
      <c r="A459" s="11">
        <v>46303.50793381945</v>
      </c>
      <c r="H459" s="12">
        <v>4.0</v>
      </c>
      <c r="I459" s="12">
        <v>5.0</v>
      </c>
      <c r="J459" s="12">
        <v>4.0</v>
      </c>
      <c r="K459" s="12">
        <v>5.0</v>
      </c>
      <c r="L459" s="12">
        <v>3.0</v>
      </c>
      <c r="M459" s="12">
        <v>5.0</v>
      </c>
      <c r="N459" s="12">
        <v>5.0</v>
      </c>
      <c r="O459" s="12">
        <v>5.0</v>
      </c>
      <c r="P459" s="12">
        <v>10.0</v>
      </c>
      <c r="Q459" s="12" t="s">
        <v>44</v>
      </c>
      <c r="R459" s="12" t="s">
        <v>406</v>
      </c>
      <c r="T459" s="15">
        <v>0.0</v>
      </c>
    </row>
    <row r="460" ht="22.5" customHeight="1">
      <c r="A460" s="11">
        <v>46303.508589571764</v>
      </c>
      <c r="H460" s="12">
        <v>5.0</v>
      </c>
      <c r="I460" s="12">
        <v>5.0</v>
      </c>
      <c r="J460" s="12">
        <v>4.0</v>
      </c>
      <c r="K460" s="12">
        <v>5.0</v>
      </c>
      <c r="L460" s="12">
        <v>4.0</v>
      </c>
      <c r="M460" s="12">
        <v>5.0</v>
      </c>
      <c r="N460" s="12">
        <v>3.0</v>
      </c>
      <c r="O460" s="12">
        <v>4.0</v>
      </c>
      <c r="P460" s="12">
        <v>7.0</v>
      </c>
      <c r="T460" s="15">
        <v>0.0</v>
      </c>
    </row>
    <row r="461" ht="22.5" customHeight="1">
      <c r="A461" s="11">
        <v>46303.50873959491</v>
      </c>
      <c r="H461" s="12">
        <v>3.0</v>
      </c>
      <c r="I461" s="12">
        <v>5.0</v>
      </c>
      <c r="J461" s="12">
        <v>4.0</v>
      </c>
      <c r="K461" s="12">
        <v>3.0</v>
      </c>
      <c r="L461" s="12">
        <v>3.0</v>
      </c>
      <c r="M461" s="12">
        <v>4.0</v>
      </c>
      <c r="N461" s="12">
        <v>4.0</v>
      </c>
      <c r="O461" s="12">
        <v>3.0</v>
      </c>
      <c r="P461" s="12">
        <v>9.0</v>
      </c>
      <c r="Q461" s="12" t="s">
        <v>174</v>
      </c>
      <c r="R461" s="12" t="s">
        <v>407</v>
      </c>
      <c r="T461" s="15">
        <v>0.0</v>
      </c>
    </row>
    <row r="462" ht="22.5" customHeight="1">
      <c r="A462" s="11">
        <v>46303.50876319445</v>
      </c>
      <c r="H462" s="12">
        <v>4.0</v>
      </c>
      <c r="I462" s="12">
        <v>4.0</v>
      </c>
      <c r="J462" s="12">
        <v>4.0</v>
      </c>
      <c r="K462" s="12">
        <v>4.0</v>
      </c>
      <c r="L462" s="12">
        <v>4.0</v>
      </c>
      <c r="M462" s="12">
        <v>4.0</v>
      </c>
      <c r="N462" s="12">
        <v>4.0</v>
      </c>
      <c r="O462" s="12">
        <v>4.0</v>
      </c>
      <c r="P462" s="12">
        <v>9.0</v>
      </c>
      <c r="Q462" s="12" t="s">
        <v>44</v>
      </c>
      <c r="R462" s="12" t="s">
        <v>408</v>
      </c>
      <c r="T462" s="15">
        <v>0.0</v>
      </c>
    </row>
    <row r="463" ht="22.5" customHeight="1">
      <c r="A463" s="11">
        <v>46303.50932780093</v>
      </c>
      <c r="H463" s="12">
        <v>2.0</v>
      </c>
      <c r="I463" s="12">
        <v>2.0</v>
      </c>
      <c r="J463" s="12">
        <v>4.0</v>
      </c>
      <c r="K463" s="12">
        <v>1.0</v>
      </c>
      <c r="L463" s="12">
        <v>1.0</v>
      </c>
      <c r="M463" s="12">
        <v>3.0</v>
      </c>
      <c r="N463" s="12">
        <v>1.0</v>
      </c>
      <c r="O463" s="12">
        <v>2.0</v>
      </c>
      <c r="P463" s="12">
        <v>10.0</v>
      </c>
      <c r="Q463" s="12" t="s">
        <v>174</v>
      </c>
      <c r="R463" s="12" t="s">
        <v>407</v>
      </c>
      <c r="T463" s="15">
        <v>0.0</v>
      </c>
    </row>
    <row r="464" ht="22.5" customHeight="1">
      <c r="A464" s="11">
        <v>46303.510140810184</v>
      </c>
      <c r="H464" s="12">
        <v>3.0</v>
      </c>
      <c r="I464" s="12">
        <v>4.0</v>
      </c>
      <c r="J464" s="12">
        <v>3.0</v>
      </c>
      <c r="K464" s="12">
        <v>4.0</v>
      </c>
      <c r="L464" s="12">
        <v>4.0</v>
      </c>
      <c r="M464" s="12">
        <v>3.0</v>
      </c>
      <c r="N464" s="12">
        <v>4.0</v>
      </c>
      <c r="O464" s="12">
        <v>4.0</v>
      </c>
      <c r="P464" s="12">
        <v>8.0</v>
      </c>
      <c r="Q464" s="12" t="s">
        <v>409</v>
      </c>
      <c r="R464" s="12" t="s">
        <v>410</v>
      </c>
      <c r="T464" s="15">
        <v>0.0</v>
      </c>
      <c r="U464" s="12" t="s">
        <v>411</v>
      </c>
      <c r="V464" s="14"/>
    </row>
    <row r="465" ht="22.5" customHeight="1">
      <c r="A465" s="11">
        <v>46303.51032108796</v>
      </c>
      <c r="H465" s="12">
        <v>3.0</v>
      </c>
      <c r="I465" s="12">
        <v>4.0</v>
      </c>
      <c r="J465" s="12">
        <v>4.0</v>
      </c>
      <c r="K465" s="12">
        <v>4.0</v>
      </c>
      <c r="L465" s="12">
        <v>4.0</v>
      </c>
      <c r="M465" s="12">
        <v>4.0</v>
      </c>
      <c r="N465" s="12">
        <v>5.0</v>
      </c>
      <c r="O465" s="12">
        <v>4.0</v>
      </c>
      <c r="P465" s="12">
        <v>8.0</v>
      </c>
      <c r="Q465" s="12" t="s">
        <v>41</v>
      </c>
      <c r="R465" s="12" t="s">
        <v>41</v>
      </c>
      <c r="T465" s="15">
        <v>0.0</v>
      </c>
    </row>
    <row r="466" ht="22.5" customHeight="1">
      <c r="A466" s="11">
        <v>46303.51080658565</v>
      </c>
      <c r="H466" s="12">
        <v>5.0</v>
      </c>
      <c r="I466" s="12">
        <v>5.0</v>
      </c>
      <c r="J466" s="12">
        <v>5.0</v>
      </c>
      <c r="K466" s="12">
        <v>5.0</v>
      </c>
      <c r="N466" s="12">
        <v>5.0</v>
      </c>
      <c r="O466" s="12">
        <v>5.0</v>
      </c>
      <c r="P466" s="12">
        <v>8.0</v>
      </c>
      <c r="T466" s="15">
        <v>0.0</v>
      </c>
    </row>
    <row r="467" ht="22.5" customHeight="1">
      <c r="A467" s="11">
        <v>46303.511225173614</v>
      </c>
      <c r="H467" s="12">
        <v>3.0</v>
      </c>
      <c r="I467" s="12">
        <v>3.0</v>
      </c>
      <c r="J467" s="12">
        <v>3.0</v>
      </c>
      <c r="K467" s="12">
        <v>3.0</v>
      </c>
      <c r="L467" s="12">
        <v>3.0</v>
      </c>
      <c r="M467" s="12">
        <v>3.0</v>
      </c>
      <c r="N467" s="12">
        <v>3.0</v>
      </c>
      <c r="O467" s="12">
        <v>3.0</v>
      </c>
      <c r="P467" s="12">
        <v>3.0</v>
      </c>
      <c r="T467" s="15">
        <v>0.0</v>
      </c>
    </row>
    <row r="468" ht="22.5" customHeight="1">
      <c r="A468" s="11">
        <v>46303.51124476852</v>
      </c>
      <c r="H468" s="12">
        <v>5.0</v>
      </c>
      <c r="I468" s="12">
        <v>4.0</v>
      </c>
      <c r="J468" s="12">
        <v>3.0</v>
      </c>
      <c r="K468" s="12">
        <v>3.0</v>
      </c>
      <c r="L468" s="12">
        <v>5.0</v>
      </c>
      <c r="M468" s="12">
        <v>4.0</v>
      </c>
      <c r="N468" s="12">
        <v>3.0</v>
      </c>
      <c r="O468" s="12">
        <v>5.0</v>
      </c>
      <c r="P468" s="12">
        <v>10.0</v>
      </c>
      <c r="T468" s="15">
        <v>0.0</v>
      </c>
    </row>
    <row r="469" ht="22.5" customHeight="1">
      <c r="A469" s="11">
        <v>46303.511942627316</v>
      </c>
      <c r="H469" s="12">
        <v>1.0</v>
      </c>
      <c r="I469" s="12">
        <v>1.0</v>
      </c>
      <c r="J469" s="12">
        <v>1.0</v>
      </c>
      <c r="K469" s="12">
        <v>1.0</v>
      </c>
      <c r="L469" s="12">
        <v>1.0</v>
      </c>
      <c r="M469" s="12">
        <v>1.0</v>
      </c>
      <c r="N469" s="12">
        <v>1.0</v>
      </c>
      <c r="O469" s="12">
        <v>1.0</v>
      </c>
      <c r="P469" s="12">
        <v>1.0</v>
      </c>
      <c r="T469" s="15">
        <v>0.0</v>
      </c>
    </row>
    <row r="470" ht="22.5" customHeight="1">
      <c r="A470" s="11">
        <v>46303.5124287963</v>
      </c>
      <c r="H470" s="12">
        <v>3.0</v>
      </c>
      <c r="I470" s="12">
        <v>4.0</v>
      </c>
      <c r="J470" s="12">
        <v>4.0</v>
      </c>
      <c r="K470" s="12">
        <v>4.0</v>
      </c>
      <c r="L470" s="12">
        <v>5.0</v>
      </c>
      <c r="M470" s="12">
        <v>4.0</v>
      </c>
      <c r="N470" s="12">
        <v>4.0</v>
      </c>
      <c r="O470" s="12">
        <v>4.0</v>
      </c>
      <c r="P470" s="12">
        <v>10.0</v>
      </c>
      <c r="T470" s="15">
        <v>0.0</v>
      </c>
    </row>
    <row r="471" ht="22.5" customHeight="1">
      <c r="A471" s="11">
        <v>46303.51369821759</v>
      </c>
      <c r="H471" s="12">
        <v>5.0</v>
      </c>
      <c r="I471" s="12">
        <v>5.0</v>
      </c>
      <c r="J471" s="12">
        <v>5.0</v>
      </c>
      <c r="K471" s="12">
        <v>5.0</v>
      </c>
      <c r="L471" s="12">
        <v>5.0</v>
      </c>
      <c r="M471" s="12">
        <v>5.0</v>
      </c>
      <c r="N471" s="12">
        <v>5.0</v>
      </c>
      <c r="O471" s="12">
        <v>5.0</v>
      </c>
      <c r="P471" s="12">
        <v>10.0</v>
      </c>
      <c r="T471" s="15">
        <v>0.0</v>
      </c>
    </row>
    <row r="472" ht="22.5" customHeight="1">
      <c r="A472" s="11">
        <v>46303.513772569444</v>
      </c>
      <c r="H472" s="12">
        <v>5.0</v>
      </c>
      <c r="I472" s="12">
        <v>5.0</v>
      </c>
      <c r="J472" s="12">
        <v>5.0</v>
      </c>
      <c r="K472" s="12">
        <v>5.0</v>
      </c>
      <c r="L472" s="12">
        <v>5.0</v>
      </c>
      <c r="M472" s="12">
        <v>5.0</v>
      </c>
      <c r="N472" s="12">
        <v>5.0</v>
      </c>
      <c r="O472" s="12">
        <v>5.0</v>
      </c>
      <c r="P472" s="12">
        <v>10.0</v>
      </c>
      <c r="Q472" s="12" t="s">
        <v>79</v>
      </c>
      <c r="R472" s="12" t="s">
        <v>79</v>
      </c>
      <c r="T472" s="15">
        <v>0.0</v>
      </c>
    </row>
    <row r="473" ht="22.5" customHeight="1">
      <c r="A473" s="11">
        <v>46303.513989189814</v>
      </c>
      <c r="H473" s="12">
        <v>5.0</v>
      </c>
      <c r="I473" s="12">
        <v>5.0</v>
      </c>
      <c r="J473" s="12">
        <v>4.0</v>
      </c>
      <c r="K473" s="12">
        <v>5.0</v>
      </c>
      <c r="L473" s="12">
        <v>5.0</v>
      </c>
      <c r="M473" s="12">
        <v>5.0</v>
      </c>
      <c r="N473" s="12">
        <v>4.0</v>
      </c>
      <c r="O473" s="12">
        <v>4.0</v>
      </c>
      <c r="P473" s="12">
        <v>10.0</v>
      </c>
      <c r="T473" s="15">
        <v>0.0</v>
      </c>
    </row>
    <row r="474" ht="22.5" customHeight="1">
      <c r="A474" s="11">
        <v>46303.51411413195</v>
      </c>
      <c r="H474" s="12">
        <v>5.0</v>
      </c>
      <c r="I474" s="12">
        <v>4.0</v>
      </c>
      <c r="J474" s="12">
        <v>5.0</v>
      </c>
      <c r="K474" s="12">
        <v>4.0</v>
      </c>
      <c r="L474" s="12">
        <v>4.0</v>
      </c>
      <c r="M474" s="12">
        <v>5.0</v>
      </c>
      <c r="N474" s="12">
        <v>4.0</v>
      </c>
      <c r="O474" s="12">
        <v>5.0</v>
      </c>
      <c r="P474" s="12">
        <v>10.0</v>
      </c>
      <c r="T474" s="15">
        <v>0.0</v>
      </c>
    </row>
    <row r="475" ht="22.5" customHeight="1">
      <c r="A475" s="11">
        <v>46303.51424122685</v>
      </c>
      <c r="H475" s="12">
        <v>5.0</v>
      </c>
      <c r="I475" s="12">
        <v>5.0</v>
      </c>
      <c r="J475" s="12">
        <v>5.0</v>
      </c>
      <c r="K475" s="12">
        <v>5.0</v>
      </c>
      <c r="L475" s="12">
        <v>5.0</v>
      </c>
      <c r="M475" s="12">
        <v>5.0</v>
      </c>
      <c r="N475" s="12">
        <v>5.0</v>
      </c>
      <c r="O475" s="12">
        <v>5.0</v>
      </c>
      <c r="P475" s="12">
        <v>10.0</v>
      </c>
      <c r="T475" s="15">
        <v>0.0</v>
      </c>
    </row>
    <row r="476" ht="22.5" customHeight="1">
      <c r="A476" s="11">
        <v>46303.514314988424</v>
      </c>
      <c r="H476" s="12">
        <v>3.0</v>
      </c>
      <c r="I476" s="12">
        <v>3.0</v>
      </c>
      <c r="J476" s="12">
        <v>3.0</v>
      </c>
      <c r="K476" s="12">
        <v>4.0</v>
      </c>
      <c r="L476" s="12">
        <v>3.0</v>
      </c>
      <c r="M476" s="12">
        <v>4.0</v>
      </c>
      <c r="N476" s="12">
        <v>4.0</v>
      </c>
      <c r="O476" s="12">
        <v>3.0</v>
      </c>
      <c r="P476" s="12">
        <v>7.0</v>
      </c>
      <c r="T476" s="15">
        <v>0.0</v>
      </c>
    </row>
    <row r="477" ht="22.5" customHeight="1">
      <c r="A477" s="11">
        <v>46303.51448753472</v>
      </c>
      <c r="I477" s="12">
        <v>5.0</v>
      </c>
      <c r="J477" s="12">
        <v>5.0</v>
      </c>
      <c r="K477" s="12">
        <v>5.0</v>
      </c>
      <c r="L477" s="12">
        <v>5.0</v>
      </c>
      <c r="M477" s="12">
        <v>5.0</v>
      </c>
      <c r="N477" s="12">
        <v>5.0</v>
      </c>
      <c r="O477" s="12">
        <v>5.0</v>
      </c>
      <c r="P477" s="12">
        <v>10.0</v>
      </c>
      <c r="T477" s="15">
        <v>0.0</v>
      </c>
    </row>
    <row r="478" ht="22.5" customHeight="1">
      <c r="A478" s="11">
        <v>46303.51479876158</v>
      </c>
      <c r="H478" s="12">
        <v>5.0</v>
      </c>
      <c r="I478" s="12">
        <v>5.0</v>
      </c>
      <c r="J478" s="12">
        <v>5.0</v>
      </c>
      <c r="K478" s="12">
        <v>5.0</v>
      </c>
      <c r="L478" s="12">
        <v>5.0</v>
      </c>
      <c r="M478" s="12">
        <v>5.0</v>
      </c>
      <c r="N478" s="12">
        <v>5.0</v>
      </c>
      <c r="O478" s="12">
        <v>5.0</v>
      </c>
      <c r="P478" s="12">
        <v>10.0</v>
      </c>
      <c r="T478" s="15">
        <v>0.0</v>
      </c>
    </row>
    <row r="479" ht="22.5" customHeight="1">
      <c r="A479" s="11">
        <v>46303.515046747685</v>
      </c>
      <c r="H479" s="12">
        <v>1.0</v>
      </c>
      <c r="I479" s="12">
        <v>5.0</v>
      </c>
      <c r="J479" s="12">
        <v>5.0</v>
      </c>
      <c r="K479" s="12">
        <v>5.0</v>
      </c>
      <c r="L479" s="12">
        <v>5.0</v>
      </c>
      <c r="M479" s="12">
        <v>5.0</v>
      </c>
      <c r="N479" s="12">
        <v>5.0</v>
      </c>
      <c r="O479" s="12">
        <v>5.0</v>
      </c>
      <c r="P479" s="12">
        <v>10.0</v>
      </c>
      <c r="Q479" s="12" t="s">
        <v>412</v>
      </c>
      <c r="R479" s="12" t="s">
        <v>413</v>
      </c>
      <c r="T479" s="15">
        <v>0.0</v>
      </c>
    </row>
    <row r="480" ht="22.5" customHeight="1">
      <c r="A480" s="11">
        <v>46303.51539677083</v>
      </c>
      <c r="H480" s="12">
        <v>5.0</v>
      </c>
      <c r="I480" s="12">
        <v>5.0</v>
      </c>
      <c r="J480" s="12">
        <v>5.0</v>
      </c>
      <c r="K480" s="12">
        <v>5.0</v>
      </c>
      <c r="L480" s="12">
        <v>5.0</v>
      </c>
      <c r="M480" s="12">
        <v>5.0</v>
      </c>
      <c r="N480" s="12">
        <v>5.0</v>
      </c>
      <c r="O480" s="12">
        <v>5.0</v>
      </c>
      <c r="P480" s="12">
        <v>10.0</v>
      </c>
      <c r="Q480" s="12" t="s">
        <v>414</v>
      </c>
      <c r="R480" s="12" t="s">
        <v>415</v>
      </c>
      <c r="T480" s="15">
        <v>0.0</v>
      </c>
    </row>
    <row r="481" ht="22.5" customHeight="1">
      <c r="A481" s="11">
        <v>46303.51625878472</v>
      </c>
      <c r="H481" s="12">
        <v>4.0</v>
      </c>
      <c r="I481" s="12">
        <v>5.0</v>
      </c>
      <c r="J481" s="12">
        <v>5.0</v>
      </c>
      <c r="K481" s="12">
        <v>4.0</v>
      </c>
      <c r="L481" s="12">
        <v>5.0</v>
      </c>
      <c r="M481" s="12">
        <v>5.0</v>
      </c>
      <c r="N481" s="12">
        <v>5.0</v>
      </c>
      <c r="O481" s="12">
        <v>4.0</v>
      </c>
      <c r="P481" s="12">
        <v>8.0</v>
      </c>
      <c r="T481" s="15">
        <v>0.0</v>
      </c>
    </row>
    <row r="482" ht="22.5" customHeight="1">
      <c r="A482" s="11">
        <v>46303.5164884375</v>
      </c>
      <c r="H482" s="12">
        <v>5.0</v>
      </c>
      <c r="I482" s="12">
        <v>5.0</v>
      </c>
      <c r="J482" s="12">
        <v>5.0</v>
      </c>
      <c r="K482" s="12">
        <v>5.0</v>
      </c>
      <c r="L482" s="12">
        <v>5.0</v>
      </c>
      <c r="M482" s="12">
        <v>5.0</v>
      </c>
      <c r="N482" s="12">
        <v>5.0</v>
      </c>
      <c r="O482" s="12">
        <v>5.0</v>
      </c>
      <c r="P482" s="12">
        <v>10.0</v>
      </c>
      <c r="Q482" s="12" t="s">
        <v>416</v>
      </c>
      <c r="R482" s="12" t="s">
        <v>413</v>
      </c>
      <c r="T482" s="15">
        <v>0.0</v>
      </c>
      <c r="U482" s="12" t="s">
        <v>417</v>
      </c>
      <c r="V482" s="14"/>
    </row>
    <row r="483" ht="22.5" customHeight="1">
      <c r="A483" s="11">
        <v>46303.51735592593</v>
      </c>
      <c r="H483" s="12">
        <v>3.0</v>
      </c>
      <c r="I483" s="12">
        <v>3.0</v>
      </c>
      <c r="J483" s="12">
        <v>4.0</v>
      </c>
      <c r="K483" s="12">
        <v>4.0</v>
      </c>
      <c r="L483" s="12">
        <v>4.0</v>
      </c>
      <c r="M483" s="12">
        <v>4.0</v>
      </c>
      <c r="N483" s="12">
        <v>4.0</v>
      </c>
      <c r="O483" s="12">
        <v>3.0</v>
      </c>
      <c r="P483" s="12">
        <v>7.0</v>
      </c>
      <c r="Q483" s="12" t="s">
        <v>418</v>
      </c>
      <c r="R483" s="12" t="s">
        <v>419</v>
      </c>
      <c r="T483" s="15">
        <v>0.0</v>
      </c>
    </row>
    <row r="484" ht="22.5" customHeight="1">
      <c r="A484" s="11">
        <v>46303.51821392361</v>
      </c>
      <c r="H484" s="12">
        <v>5.0</v>
      </c>
      <c r="I484" s="12">
        <v>5.0</v>
      </c>
      <c r="J484" s="12">
        <v>5.0</v>
      </c>
      <c r="K484" s="12">
        <v>5.0</v>
      </c>
      <c r="L484" s="12">
        <v>5.0</v>
      </c>
      <c r="M484" s="12">
        <v>5.0</v>
      </c>
      <c r="N484" s="12">
        <v>5.0</v>
      </c>
      <c r="O484" s="12">
        <v>5.0</v>
      </c>
      <c r="P484" s="12">
        <v>10.0</v>
      </c>
      <c r="Q484" s="12" t="s">
        <v>416</v>
      </c>
      <c r="R484" s="12" t="s">
        <v>420</v>
      </c>
      <c r="T484" s="15">
        <v>0.0</v>
      </c>
      <c r="U484" s="12" t="s">
        <v>421</v>
      </c>
      <c r="V484" s="14"/>
    </row>
    <row r="485" ht="22.5" customHeight="1">
      <c r="A485" s="11">
        <v>46303.518403333335</v>
      </c>
      <c r="H485" s="12">
        <v>4.0</v>
      </c>
      <c r="I485" s="12">
        <v>4.0</v>
      </c>
      <c r="J485" s="12">
        <v>4.0</v>
      </c>
      <c r="K485" s="12">
        <v>4.0</v>
      </c>
      <c r="L485" s="12">
        <v>4.0</v>
      </c>
      <c r="M485" s="12">
        <v>4.0</v>
      </c>
      <c r="N485" s="12">
        <v>4.0</v>
      </c>
      <c r="O485" s="12">
        <v>4.0</v>
      </c>
      <c r="P485" s="12">
        <v>8.0</v>
      </c>
      <c r="T485" s="15">
        <v>0.0</v>
      </c>
    </row>
    <row r="486" ht="22.5" customHeight="1">
      <c r="A486" s="11">
        <v>46303.51855445602</v>
      </c>
      <c r="H486" s="12">
        <v>4.0</v>
      </c>
      <c r="I486" s="12">
        <v>4.0</v>
      </c>
      <c r="J486" s="12">
        <v>4.0</v>
      </c>
      <c r="K486" s="12">
        <v>4.0</v>
      </c>
      <c r="L486" s="12">
        <v>4.0</v>
      </c>
      <c r="M486" s="12">
        <v>5.0</v>
      </c>
      <c r="N486" s="12">
        <v>5.0</v>
      </c>
      <c r="O486" s="12">
        <v>5.0</v>
      </c>
      <c r="P486" s="12">
        <v>9.0</v>
      </c>
      <c r="Q486" s="12" t="s">
        <v>79</v>
      </c>
      <c r="R486" s="12" t="s">
        <v>422</v>
      </c>
      <c r="T486" s="15">
        <v>0.0</v>
      </c>
    </row>
    <row r="487" ht="22.5" customHeight="1">
      <c r="A487" s="11">
        <v>46303.52022707176</v>
      </c>
      <c r="H487" s="12">
        <v>4.0</v>
      </c>
      <c r="I487" s="12">
        <v>4.0</v>
      </c>
      <c r="J487" s="12">
        <v>4.0</v>
      </c>
      <c r="K487" s="12">
        <v>4.0</v>
      </c>
      <c r="L487" s="12">
        <v>4.0</v>
      </c>
      <c r="M487" s="12">
        <v>4.0</v>
      </c>
      <c r="N487" s="12">
        <v>4.0</v>
      </c>
      <c r="O487" s="12">
        <v>4.0</v>
      </c>
      <c r="P487" s="12">
        <v>8.0</v>
      </c>
      <c r="R487" s="12" t="s">
        <v>423</v>
      </c>
      <c r="T487" s="15">
        <v>0.0</v>
      </c>
      <c r="U487" s="12" t="s">
        <v>424</v>
      </c>
      <c r="V487" s="14"/>
    </row>
    <row r="488" ht="22.5" customHeight="1">
      <c r="A488" s="11">
        <v>46303.520696631946</v>
      </c>
      <c r="H488" s="12">
        <v>2.0</v>
      </c>
      <c r="I488" s="12">
        <v>2.0</v>
      </c>
      <c r="J488" s="12">
        <v>2.0</v>
      </c>
      <c r="K488" s="12">
        <v>3.0</v>
      </c>
      <c r="L488" s="12">
        <v>2.0</v>
      </c>
      <c r="M488" s="12">
        <v>3.0</v>
      </c>
      <c r="N488" s="12">
        <v>2.0</v>
      </c>
      <c r="O488" s="12">
        <v>2.0</v>
      </c>
      <c r="P488" s="12">
        <v>2.0</v>
      </c>
      <c r="Q488" s="12" t="s">
        <v>425</v>
      </c>
      <c r="R488" s="12" t="s">
        <v>426</v>
      </c>
      <c r="T488" s="15">
        <v>0.0</v>
      </c>
      <c r="U488" s="12" t="s">
        <v>427</v>
      </c>
      <c r="V488" s="14"/>
    </row>
    <row r="489" ht="22.5" customHeight="1">
      <c r="A489" s="11">
        <v>46303.52408268518</v>
      </c>
      <c r="H489" s="12">
        <v>4.0</v>
      </c>
      <c r="I489" s="12">
        <v>5.0</v>
      </c>
      <c r="J489" s="12">
        <v>5.0</v>
      </c>
      <c r="K489" s="12">
        <v>5.0</v>
      </c>
      <c r="L489" s="12">
        <v>5.0</v>
      </c>
      <c r="M489" s="12">
        <v>5.0</v>
      </c>
      <c r="N489" s="12">
        <v>4.0</v>
      </c>
      <c r="O489" s="12">
        <v>4.0</v>
      </c>
      <c r="P489" s="12">
        <v>9.0</v>
      </c>
      <c r="T489" s="15">
        <v>0.0</v>
      </c>
    </row>
    <row r="490" ht="22.5" customHeight="1">
      <c r="A490" s="11">
        <v>46303.52629663194</v>
      </c>
      <c r="H490" s="12">
        <v>3.0</v>
      </c>
      <c r="I490" s="12">
        <v>3.0</v>
      </c>
      <c r="J490" s="12">
        <v>4.0</v>
      </c>
      <c r="K490" s="12">
        <v>2.0</v>
      </c>
      <c r="L490" s="12">
        <v>4.0</v>
      </c>
      <c r="M490" s="12">
        <v>3.0</v>
      </c>
      <c r="N490" s="12">
        <v>3.0</v>
      </c>
      <c r="O490" s="12">
        <v>2.0</v>
      </c>
      <c r="P490" s="12">
        <v>6.0</v>
      </c>
      <c r="T490" s="15">
        <v>0.0</v>
      </c>
      <c r="U490" s="12" t="s">
        <v>428</v>
      </c>
      <c r="V490" s="14"/>
    </row>
    <row r="491" ht="22.5" customHeight="1">
      <c r="A491" s="11">
        <v>46303.529667442126</v>
      </c>
      <c r="H491" s="12">
        <v>5.0</v>
      </c>
      <c r="I491" s="12">
        <v>4.0</v>
      </c>
      <c r="J491" s="12">
        <v>4.0</v>
      </c>
      <c r="K491" s="12">
        <v>5.0</v>
      </c>
      <c r="L491" s="12">
        <v>5.0</v>
      </c>
      <c r="M491" s="12">
        <v>5.0</v>
      </c>
      <c r="N491" s="12">
        <v>5.0</v>
      </c>
      <c r="O491" s="12">
        <v>5.0</v>
      </c>
      <c r="P491" s="12">
        <v>9.0</v>
      </c>
      <c r="R491" s="12" t="s">
        <v>179</v>
      </c>
      <c r="T491" s="15">
        <v>0.0</v>
      </c>
    </row>
    <row r="492" ht="22.5" customHeight="1">
      <c r="A492" s="11">
        <v>46303.53020533565</v>
      </c>
      <c r="H492" s="12">
        <v>3.0</v>
      </c>
      <c r="I492" s="12">
        <v>3.0</v>
      </c>
      <c r="J492" s="12">
        <v>2.0</v>
      </c>
      <c r="K492" s="12">
        <v>2.0</v>
      </c>
      <c r="L492" s="12">
        <v>3.0</v>
      </c>
      <c r="M492" s="12">
        <v>3.0</v>
      </c>
      <c r="N492" s="12">
        <v>3.0</v>
      </c>
      <c r="O492" s="12">
        <v>3.0</v>
      </c>
      <c r="P492" s="12">
        <v>4.0</v>
      </c>
      <c r="T492" s="15">
        <v>0.0</v>
      </c>
      <c r="U492" s="12" t="s">
        <v>429</v>
      </c>
      <c r="V492" s="14"/>
    </row>
    <row r="493" ht="22.5" customHeight="1">
      <c r="A493" s="11">
        <v>46303.53323748843</v>
      </c>
      <c r="H493" s="12">
        <v>3.0</v>
      </c>
      <c r="I493" s="12">
        <v>3.0</v>
      </c>
      <c r="J493" s="12">
        <v>4.0</v>
      </c>
      <c r="K493" s="12">
        <v>5.0</v>
      </c>
      <c r="L493" s="12">
        <v>3.0</v>
      </c>
      <c r="M493" s="12">
        <v>4.0</v>
      </c>
      <c r="N493" s="12">
        <v>4.0</v>
      </c>
      <c r="O493" s="12">
        <v>3.0</v>
      </c>
      <c r="P493" s="12">
        <v>6.0</v>
      </c>
      <c r="Q493" s="12" t="s">
        <v>44</v>
      </c>
      <c r="R493" s="12" t="s">
        <v>41</v>
      </c>
      <c r="T493" s="15">
        <v>0.0</v>
      </c>
      <c r="U493" s="12" t="s">
        <v>430</v>
      </c>
      <c r="V493" s="14"/>
    </row>
    <row r="494" ht="22.5" customHeight="1">
      <c r="A494" s="11">
        <v>46303.54139915509</v>
      </c>
      <c r="H494" s="12">
        <v>5.0</v>
      </c>
      <c r="I494" s="12">
        <v>5.0</v>
      </c>
      <c r="J494" s="12">
        <v>5.0</v>
      </c>
      <c r="K494" s="12">
        <v>5.0</v>
      </c>
      <c r="L494" s="12">
        <v>5.0</v>
      </c>
      <c r="M494" s="12">
        <v>5.0</v>
      </c>
      <c r="N494" s="12">
        <v>5.0</v>
      </c>
      <c r="O494" s="12">
        <v>5.0</v>
      </c>
      <c r="P494" s="12">
        <v>10.0</v>
      </c>
      <c r="T494" s="15">
        <v>0.0</v>
      </c>
    </row>
    <row r="495" ht="22.5" customHeight="1">
      <c r="A495" s="11">
        <v>46303.55321902777</v>
      </c>
      <c r="H495" s="12">
        <v>5.0</v>
      </c>
      <c r="I495" s="12">
        <v>5.0</v>
      </c>
      <c r="J495" s="12">
        <v>5.0</v>
      </c>
      <c r="K495" s="12">
        <v>5.0</v>
      </c>
      <c r="L495" s="12">
        <v>5.0</v>
      </c>
      <c r="M495" s="12">
        <v>5.0</v>
      </c>
      <c r="N495" s="12">
        <v>5.0</v>
      </c>
      <c r="O495" s="12">
        <v>5.0</v>
      </c>
      <c r="P495" s="12">
        <v>10.0</v>
      </c>
      <c r="Q495" s="12" t="s">
        <v>79</v>
      </c>
      <c r="R495" s="12" t="s">
        <v>431</v>
      </c>
      <c r="T495" s="15">
        <v>0.0</v>
      </c>
    </row>
    <row r="496" ht="22.5" customHeight="1">
      <c r="A496" s="11">
        <v>46303.554494317126</v>
      </c>
      <c r="H496" s="12">
        <v>5.0</v>
      </c>
      <c r="I496" s="12">
        <v>5.0</v>
      </c>
      <c r="J496" s="12">
        <v>5.0</v>
      </c>
      <c r="K496" s="12">
        <v>5.0</v>
      </c>
      <c r="L496" s="12">
        <v>5.0</v>
      </c>
      <c r="M496" s="12">
        <v>5.0</v>
      </c>
      <c r="N496" s="12">
        <v>5.0</v>
      </c>
      <c r="O496" s="12">
        <v>5.0</v>
      </c>
      <c r="P496" s="12">
        <v>10.0</v>
      </c>
      <c r="T496" s="15">
        <v>0.0</v>
      </c>
    </row>
    <row r="497" ht="22.5" customHeight="1">
      <c r="A497" s="11">
        <v>46303.55491975695</v>
      </c>
      <c r="H497" s="12">
        <v>5.0</v>
      </c>
      <c r="I497" s="12">
        <v>5.0</v>
      </c>
      <c r="J497" s="12">
        <v>5.0</v>
      </c>
      <c r="K497" s="12">
        <v>5.0</v>
      </c>
      <c r="L497" s="12">
        <v>5.0</v>
      </c>
      <c r="M497" s="12">
        <v>5.0</v>
      </c>
      <c r="N497" s="12">
        <v>5.0</v>
      </c>
      <c r="O497" s="12">
        <v>5.0</v>
      </c>
      <c r="P497" s="12">
        <v>10.0</v>
      </c>
      <c r="Q497" s="12" t="s">
        <v>79</v>
      </c>
      <c r="R497" s="12" t="s">
        <v>432</v>
      </c>
      <c r="T497" s="15">
        <v>0.0</v>
      </c>
    </row>
    <row r="498" ht="22.5" customHeight="1">
      <c r="A498" s="11">
        <v>46303.5551580787</v>
      </c>
      <c r="H498" s="12">
        <v>5.0</v>
      </c>
      <c r="I498" s="12">
        <v>5.0</v>
      </c>
      <c r="J498" s="12">
        <v>5.0</v>
      </c>
      <c r="K498" s="12">
        <v>5.0</v>
      </c>
      <c r="L498" s="12">
        <v>5.0</v>
      </c>
      <c r="M498" s="12">
        <v>5.0</v>
      </c>
      <c r="N498" s="12">
        <v>5.0</v>
      </c>
      <c r="O498" s="12">
        <v>5.0</v>
      </c>
      <c r="P498" s="12">
        <v>10.0</v>
      </c>
      <c r="Q498" s="12" t="s">
        <v>174</v>
      </c>
      <c r="R498" s="12" t="s">
        <v>433</v>
      </c>
      <c r="T498" s="15">
        <v>0.0</v>
      </c>
    </row>
    <row r="499" ht="22.5" customHeight="1">
      <c r="A499" s="11">
        <v>46303.55659688657</v>
      </c>
      <c r="H499" s="12">
        <v>4.0</v>
      </c>
      <c r="I499" s="12">
        <v>5.0</v>
      </c>
      <c r="J499" s="12">
        <v>4.0</v>
      </c>
      <c r="K499" s="12">
        <v>5.0</v>
      </c>
      <c r="L499" s="12">
        <v>5.0</v>
      </c>
      <c r="M499" s="12">
        <v>4.0</v>
      </c>
      <c r="N499" s="12">
        <v>4.0</v>
      </c>
      <c r="O499" s="12">
        <v>4.0</v>
      </c>
      <c r="P499" s="12">
        <v>10.0</v>
      </c>
      <c r="Q499" s="16" t="s">
        <v>434</v>
      </c>
      <c r="R499" s="12" t="s">
        <v>435</v>
      </c>
      <c r="T499" s="15">
        <v>0.0</v>
      </c>
    </row>
    <row r="500" ht="22.5" customHeight="1">
      <c r="A500" s="11">
        <v>46303.56301020834</v>
      </c>
      <c r="H500" s="12">
        <v>3.0</v>
      </c>
      <c r="I500" s="12">
        <v>3.0</v>
      </c>
      <c r="J500" s="12">
        <v>3.0</v>
      </c>
      <c r="K500" s="12">
        <v>3.0</v>
      </c>
      <c r="L500" s="12">
        <v>4.0</v>
      </c>
      <c r="M500" s="12">
        <v>4.0</v>
      </c>
      <c r="N500" s="12">
        <v>4.0</v>
      </c>
      <c r="O500" s="12">
        <v>4.0</v>
      </c>
      <c r="P500" s="12">
        <v>8.0</v>
      </c>
      <c r="T500" s="15">
        <v>0.0</v>
      </c>
      <c r="U500" s="12" t="s">
        <v>436</v>
      </c>
      <c r="V500" s="14"/>
    </row>
    <row r="501" ht="22.5" customHeight="1">
      <c r="A501" s="11">
        <v>46303.564309837966</v>
      </c>
      <c r="H501" s="12">
        <v>4.0</v>
      </c>
      <c r="I501" s="12">
        <v>5.0</v>
      </c>
      <c r="J501" s="12">
        <v>5.0</v>
      </c>
      <c r="K501" s="12">
        <v>4.0</v>
      </c>
      <c r="L501" s="12">
        <v>5.0</v>
      </c>
      <c r="M501" s="12">
        <v>5.0</v>
      </c>
      <c r="N501" s="12">
        <v>5.0</v>
      </c>
      <c r="O501" s="12">
        <v>5.0</v>
      </c>
      <c r="P501" s="12">
        <v>10.0</v>
      </c>
      <c r="Q501" s="12" t="s">
        <v>44</v>
      </c>
      <c r="R501" s="12" t="s">
        <v>408</v>
      </c>
      <c r="T501" s="15">
        <v>0.0</v>
      </c>
    </row>
    <row r="502" ht="22.5" customHeight="1">
      <c r="A502" s="11">
        <v>46303.569475439814</v>
      </c>
      <c r="H502" s="12">
        <v>4.0</v>
      </c>
      <c r="I502" s="12">
        <v>4.0</v>
      </c>
      <c r="J502" s="12">
        <v>4.0</v>
      </c>
      <c r="K502" s="12">
        <v>4.0</v>
      </c>
      <c r="L502" s="12">
        <v>4.0</v>
      </c>
      <c r="M502" s="12">
        <v>4.0</v>
      </c>
      <c r="N502" s="12">
        <v>4.0</v>
      </c>
      <c r="O502" s="12">
        <v>4.0</v>
      </c>
      <c r="P502" s="12">
        <v>7.0</v>
      </c>
      <c r="T502" s="15">
        <v>0.0</v>
      </c>
    </row>
    <row r="503" ht="22.5" customHeight="1">
      <c r="A503" s="11">
        <v>46303.570766006946</v>
      </c>
      <c r="H503" s="12">
        <v>4.0</v>
      </c>
      <c r="I503" s="12">
        <v>5.0</v>
      </c>
      <c r="J503" s="12">
        <v>5.0</v>
      </c>
      <c r="L503" s="12">
        <v>5.0</v>
      </c>
      <c r="M503" s="12">
        <v>5.0</v>
      </c>
      <c r="N503" s="12">
        <v>5.0</v>
      </c>
      <c r="O503" s="12">
        <v>5.0</v>
      </c>
      <c r="P503" s="12">
        <v>10.0</v>
      </c>
      <c r="T503" s="15">
        <v>0.0</v>
      </c>
    </row>
    <row r="504" ht="22.5" customHeight="1">
      <c r="A504" s="11">
        <v>46303.57530506945</v>
      </c>
      <c r="H504" s="12">
        <v>4.0</v>
      </c>
      <c r="I504" s="12">
        <v>4.0</v>
      </c>
      <c r="J504" s="12">
        <v>4.0</v>
      </c>
      <c r="K504" s="12">
        <v>5.0</v>
      </c>
      <c r="L504" s="12">
        <v>3.0</v>
      </c>
      <c r="M504" s="12">
        <v>4.0</v>
      </c>
      <c r="N504" s="12">
        <v>4.0</v>
      </c>
      <c r="O504" s="12">
        <v>5.0</v>
      </c>
      <c r="P504" s="12">
        <v>9.0</v>
      </c>
      <c r="T504" s="15">
        <v>0.0</v>
      </c>
    </row>
    <row r="505" ht="22.5" customHeight="1">
      <c r="A505" s="11">
        <v>46303.57539253472</v>
      </c>
      <c r="H505" s="12">
        <v>1.0</v>
      </c>
      <c r="I505" s="12">
        <v>4.0</v>
      </c>
      <c r="J505" s="12">
        <v>4.0</v>
      </c>
      <c r="K505" s="12">
        <v>5.0</v>
      </c>
      <c r="L505" s="12">
        <v>3.0</v>
      </c>
      <c r="M505" s="12">
        <v>4.0</v>
      </c>
      <c r="N505" s="12">
        <v>4.0</v>
      </c>
      <c r="O505" s="12">
        <v>5.0</v>
      </c>
      <c r="P505" s="12">
        <v>10.0</v>
      </c>
      <c r="T505" s="15">
        <v>0.0</v>
      </c>
    </row>
    <row r="506" ht="22.5" customHeight="1">
      <c r="A506" s="11">
        <v>46303.58851777778</v>
      </c>
      <c r="H506" s="12">
        <v>5.0</v>
      </c>
      <c r="I506" s="12">
        <v>4.0</v>
      </c>
      <c r="J506" s="12">
        <v>4.0</v>
      </c>
      <c r="K506" s="12">
        <v>4.0</v>
      </c>
      <c r="L506" s="12">
        <v>4.0</v>
      </c>
      <c r="M506" s="12">
        <v>4.0</v>
      </c>
      <c r="N506" s="12">
        <v>4.0</v>
      </c>
      <c r="O506" s="12">
        <v>4.0</v>
      </c>
      <c r="P506" s="12">
        <v>9.0</v>
      </c>
      <c r="T506" s="15">
        <v>0.0</v>
      </c>
    </row>
    <row r="507" ht="22.5" customHeight="1">
      <c r="A507" s="11">
        <v>46303.58855186343</v>
      </c>
      <c r="H507" s="12">
        <v>5.0</v>
      </c>
      <c r="I507" s="12">
        <v>4.0</v>
      </c>
      <c r="J507" s="12">
        <v>3.0</v>
      </c>
      <c r="K507" s="12">
        <v>4.0</v>
      </c>
      <c r="L507" s="12">
        <v>4.0</v>
      </c>
      <c r="M507" s="12">
        <v>3.0</v>
      </c>
      <c r="N507" s="12">
        <v>4.0</v>
      </c>
      <c r="O507" s="12">
        <v>4.0</v>
      </c>
      <c r="P507" s="12">
        <v>9.0</v>
      </c>
      <c r="Q507" s="12" t="s">
        <v>44</v>
      </c>
      <c r="R507" s="12" t="s">
        <v>392</v>
      </c>
      <c r="T507" s="15">
        <v>0.0</v>
      </c>
      <c r="U507" s="12" t="s">
        <v>437</v>
      </c>
      <c r="V507" s="14"/>
    </row>
    <row r="508" ht="22.5" customHeight="1">
      <c r="A508" s="11">
        <v>46303.59134799769</v>
      </c>
      <c r="H508" s="12">
        <v>4.0</v>
      </c>
      <c r="I508" s="12">
        <v>4.0</v>
      </c>
      <c r="J508" s="12">
        <v>4.0</v>
      </c>
      <c r="K508" s="12">
        <v>4.0</v>
      </c>
      <c r="L508" s="12">
        <v>4.0</v>
      </c>
      <c r="M508" s="12">
        <v>4.0</v>
      </c>
      <c r="N508" s="12">
        <v>4.0</v>
      </c>
      <c r="O508" s="12">
        <v>5.0</v>
      </c>
      <c r="P508" s="12">
        <v>8.0</v>
      </c>
      <c r="Q508" s="12" t="s">
        <v>44</v>
      </c>
      <c r="R508" s="12" t="s">
        <v>408</v>
      </c>
      <c r="T508" s="15">
        <v>0.0</v>
      </c>
    </row>
    <row r="509" ht="22.5" customHeight="1">
      <c r="A509" s="11">
        <v>46303.59190206019</v>
      </c>
      <c r="H509" s="12">
        <v>5.0</v>
      </c>
      <c r="I509" s="12">
        <v>4.0</v>
      </c>
      <c r="J509" s="12">
        <v>4.0</v>
      </c>
      <c r="K509" s="12">
        <v>4.0</v>
      </c>
      <c r="L509" s="12">
        <v>4.0</v>
      </c>
      <c r="M509" s="12">
        <v>4.0</v>
      </c>
      <c r="N509" s="12">
        <v>4.0</v>
      </c>
      <c r="O509" s="12">
        <v>4.0</v>
      </c>
      <c r="P509" s="12">
        <v>9.0</v>
      </c>
      <c r="Q509" s="12" t="s">
        <v>44</v>
      </c>
      <c r="R509" s="12" t="s">
        <v>408</v>
      </c>
      <c r="T509" s="15">
        <v>0.0</v>
      </c>
    </row>
    <row r="510" ht="22.5" customHeight="1">
      <c r="A510" s="11">
        <v>46303.59590827546</v>
      </c>
      <c r="H510" s="12">
        <v>5.0</v>
      </c>
      <c r="I510" s="12">
        <v>5.0</v>
      </c>
      <c r="J510" s="12">
        <v>5.0</v>
      </c>
      <c r="K510" s="12">
        <v>5.0</v>
      </c>
      <c r="L510" s="12">
        <v>5.0</v>
      </c>
      <c r="M510" s="12">
        <v>5.0</v>
      </c>
      <c r="N510" s="12">
        <v>5.0</v>
      </c>
      <c r="O510" s="12">
        <v>5.0</v>
      </c>
      <c r="P510" s="12">
        <v>10.0</v>
      </c>
      <c r="Q510" s="12" t="s">
        <v>438</v>
      </c>
      <c r="R510" s="12" t="s">
        <v>38</v>
      </c>
      <c r="T510" s="15">
        <v>0.0</v>
      </c>
      <c r="U510" s="12" t="s">
        <v>439</v>
      </c>
      <c r="V510" s="14"/>
    </row>
    <row r="511" ht="22.5" customHeight="1">
      <c r="A511" s="11">
        <v>46303.59591364583</v>
      </c>
      <c r="H511" s="12">
        <v>4.0</v>
      </c>
      <c r="I511" s="12">
        <v>4.0</v>
      </c>
      <c r="J511" s="12">
        <v>4.0</v>
      </c>
      <c r="K511" s="12">
        <v>5.0</v>
      </c>
      <c r="M511" s="12">
        <v>4.0</v>
      </c>
      <c r="N511" s="12">
        <v>4.0</v>
      </c>
      <c r="O511" s="12">
        <v>4.0</v>
      </c>
      <c r="P511" s="12">
        <v>9.0</v>
      </c>
      <c r="Q511" s="12" t="s">
        <v>44</v>
      </c>
      <c r="R511" s="12" t="s">
        <v>38</v>
      </c>
      <c r="T511" s="15">
        <v>0.0</v>
      </c>
    </row>
    <row r="512" ht="22.5" customHeight="1">
      <c r="A512" s="11">
        <v>46303.6013455787</v>
      </c>
      <c r="H512" s="12">
        <v>5.0</v>
      </c>
      <c r="I512" s="12">
        <v>4.0</v>
      </c>
      <c r="J512" s="12">
        <v>4.0</v>
      </c>
      <c r="K512" s="12">
        <v>5.0</v>
      </c>
      <c r="L512" s="12">
        <v>3.0</v>
      </c>
      <c r="M512" s="12">
        <v>5.0</v>
      </c>
      <c r="N512" s="12">
        <v>5.0</v>
      </c>
      <c r="O512" s="12">
        <v>4.0</v>
      </c>
      <c r="P512" s="12">
        <v>10.0</v>
      </c>
      <c r="T512" s="15">
        <v>0.0</v>
      </c>
    </row>
    <row r="513" ht="22.5" customHeight="1">
      <c r="A513" s="11">
        <v>46303.602416504626</v>
      </c>
      <c r="H513" s="12">
        <v>5.0</v>
      </c>
      <c r="I513" s="12">
        <v>5.0</v>
      </c>
      <c r="J513" s="12">
        <v>5.0</v>
      </c>
      <c r="K513" s="12">
        <v>5.0</v>
      </c>
      <c r="L513" s="12">
        <v>5.0</v>
      </c>
      <c r="M513" s="12">
        <v>5.0</v>
      </c>
      <c r="N513" s="12">
        <v>5.0</v>
      </c>
      <c r="O513" s="12">
        <v>5.0</v>
      </c>
      <c r="P513" s="12">
        <v>10.0</v>
      </c>
      <c r="Q513" s="12" t="s">
        <v>440</v>
      </c>
      <c r="R513" s="12" t="s">
        <v>71</v>
      </c>
      <c r="T513" s="15">
        <v>0.0</v>
      </c>
      <c r="U513" s="12" t="s">
        <v>441</v>
      </c>
      <c r="V513" s="14"/>
    </row>
    <row r="514" ht="22.5" customHeight="1">
      <c r="A514" s="11">
        <v>46303.610054942124</v>
      </c>
      <c r="H514" s="12">
        <v>5.0</v>
      </c>
      <c r="I514" s="12">
        <v>5.0</v>
      </c>
      <c r="J514" s="12">
        <v>5.0</v>
      </c>
      <c r="K514" s="12">
        <v>5.0</v>
      </c>
      <c r="L514" s="12">
        <v>5.0</v>
      </c>
      <c r="M514" s="12">
        <v>5.0</v>
      </c>
      <c r="N514" s="12">
        <v>5.0</v>
      </c>
      <c r="O514" s="12">
        <v>5.0</v>
      </c>
      <c r="P514" s="12">
        <v>9.0</v>
      </c>
      <c r="T514" s="15">
        <v>0.0</v>
      </c>
    </row>
    <row r="515" ht="22.5" customHeight="1">
      <c r="A515" s="11">
        <v>46303.61075238426</v>
      </c>
      <c r="H515" s="12">
        <v>1.0</v>
      </c>
      <c r="I515" s="12">
        <v>2.0</v>
      </c>
      <c r="K515" s="12">
        <v>3.0</v>
      </c>
      <c r="L515" s="12">
        <v>5.0</v>
      </c>
      <c r="M515" s="12">
        <v>3.0</v>
      </c>
      <c r="N515" s="12">
        <v>3.0</v>
      </c>
      <c r="O515" s="12">
        <v>3.0</v>
      </c>
      <c r="P515" s="12">
        <v>7.0</v>
      </c>
      <c r="Q515" s="12" t="s">
        <v>442</v>
      </c>
      <c r="R515" s="12" t="s">
        <v>431</v>
      </c>
      <c r="T515" s="15">
        <v>0.0</v>
      </c>
    </row>
    <row r="516" ht="22.5" customHeight="1">
      <c r="A516" s="11">
        <v>46303.612485949074</v>
      </c>
      <c r="H516" s="12">
        <v>3.0</v>
      </c>
      <c r="I516" s="12">
        <v>3.0</v>
      </c>
      <c r="J516" s="12">
        <v>4.0</v>
      </c>
      <c r="K516" s="12">
        <v>4.0</v>
      </c>
      <c r="L516" s="12">
        <v>4.0</v>
      </c>
      <c r="M516" s="12">
        <v>4.0</v>
      </c>
      <c r="N516" s="12">
        <v>4.0</v>
      </c>
      <c r="O516" s="12">
        <v>4.0</v>
      </c>
      <c r="P516" s="12">
        <v>7.0</v>
      </c>
      <c r="Q516" s="12" t="s">
        <v>443</v>
      </c>
      <c r="R516" s="12" t="s">
        <v>431</v>
      </c>
      <c r="T516" s="15">
        <v>0.0</v>
      </c>
      <c r="U516" s="12" t="s">
        <v>362</v>
      </c>
      <c r="V516" s="14"/>
    </row>
    <row r="517" ht="22.5" customHeight="1">
      <c r="A517" s="11">
        <v>46303.61937372685</v>
      </c>
      <c r="H517" s="12">
        <v>3.0</v>
      </c>
      <c r="I517" s="12">
        <v>5.0</v>
      </c>
      <c r="J517" s="12">
        <v>5.0</v>
      </c>
      <c r="K517" s="12">
        <v>5.0</v>
      </c>
      <c r="L517" s="12">
        <v>4.0</v>
      </c>
      <c r="M517" s="12">
        <v>4.0</v>
      </c>
      <c r="N517" s="12">
        <v>5.0</v>
      </c>
      <c r="O517" s="12">
        <v>5.0</v>
      </c>
      <c r="P517" s="12">
        <v>7.0</v>
      </c>
      <c r="T517" s="15">
        <v>0.0</v>
      </c>
    </row>
    <row r="518" ht="22.5" customHeight="1">
      <c r="A518" s="11">
        <v>46303.62121644676</v>
      </c>
      <c r="H518" s="12">
        <v>4.0</v>
      </c>
      <c r="I518" s="12">
        <v>4.0</v>
      </c>
      <c r="J518" s="12">
        <v>4.0</v>
      </c>
      <c r="K518" s="12">
        <v>2.0</v>
      </c>
      <c r="L518" s="12">
        <v>4.0</v>
      </c>
      <c r="M518" s="12">
        <v>4.0</v>
      </c>
      <c r="N518" s="12">
        <v>4.0</v>
      </c>
      <c r="O518" s="12">
        <v>4.0</v>
      </c>
      <c r="P518" s="12">
        <v>6.0</v>
      </c>
      <c r="T518" s="15">
        <v>0.0</v>
      </c>
    </row>
    <row r="519" ht="22.5" customHeight="1">
      <c r="A519" s="11">
        <v>46303.62195259259</v>
      </c>
      <c r="H519" s="12">
        <v>3.0</v>
      </c>
      <c r="I519" s="12">
        <v>3.0</v>
      </c>
      <c r="J519" s="12">
        <v>5.0</v>
      </c>
      <c r="K519" s="12">
        <v>5.0</v>
      </c>
      <c r="L519" s="12">
        <v>3.0</v>
      </c>
      <c r="M519" s="12">
        <v>5.0</v>
      </c>
      <c r="N519" s="12">
        <v>5.0</v>
      </c>
      <c r="O519" s="12">
        <v>4.0</v>
      </c>
      <c r="P519" s="12">
        <v>9.0</v>
      </c>
      <c r="Q519" s="12" t="s">
        <v>44</v>
      </c>
      <c r="R519" s="12" t="s">
        <v>44</v>
      </c>
      <c r="T519" s="15">
        <v>0.0</v>
      </c>
      <c r="U519" s="12" t="s">
        <v>444</v>
      </c>
      <c r="V519" s="14"/>
    </row>
    <row r="520" ht="22.5" customHeight="1">
      <c r="A520" s="11">
        <v>46303.631352337965</v>
      </c>
      <c r="H520" s="12">
        <v>4.0</v>
      </c>
      <c r="I520" s="12">
        <v>5.0</v>
      </c>
      <c r="J520" s="12">
        <v>5.0</v>
      </c>
      <c r="K520" s="12">
        <v>5.0</v>
      </c>
      <c r="L520" s="12">
        <v>3.0</v>
      </c>
      <c r="M520" s="12">
        <v>5.0</v>
      </c>
      <c r="N520" s="12">
        <v>4.0</v>
      </c>
      <c r="O520" s="12">
        <v>4.0</v>
      </c>
      <c r="P520" s="12">
        <v>9.0</v>
      </c>
      <c r="Q520" s="12" t="s">
        <v>445</v>
      </c>
      <c r="T520" s="15">
        <v>0.0</v>
      </c>
    </row>
    <row r="521" ht="22.5" customHeight="1">
      <c r="A521" s="11">
        <v>46303.63261042824</v>
      </c>
      <c r="H521" s="12">
        <v>5.0</v>
      </c>
      <c r="I521" s="12">
        <v>5.0</v>
      </c>
      <c r="J521" s="12">
        <v>5.0</v>
      </c>
      <c r="K521" s="12">
        <v>5.0</v>
      </c>
      <c r="L521" s="12">
        <v>5.0</v>
      </c>
      <c r="M521" s="12">
        <v>5.0</v>
      </c>
      <c r="N521" s="12">
        <v>5.0</v>
      </c>
      <c r="O521" s="12">
        <v>5.0</v>
      </c>
      <c r="P521" s="12">
        <v>7.0</v>
      </c>
      <c r="Q521" s="12" t="s">
        <v>44</v>
      </c>
      <c r="R521" s="12" t="s">
        <v>71</v>
      </c>
      <c r="T521" s="15">
        <v>0.0</v>
      </c>
    </row>
    <row r="522" ht="22.5" customHeight="1">
      <c r="A522" s="11">
        <v>46303.633396087964</v>
      </c>
      <c r="H522" s="12">
        <v>5.0</v>
      </c>
      <c r="I522" s="12">
        <v>5.0</v>
      </c>
      <c r="J522" s="12">
        <v>5.0</v>
      </c>
      <c r="K522" s="12">
        <v>5.0</v>
      </c>
      <c r="L522" s="12">
        <v>4.0</v>
      </c>
      <c r="M522" s="12">
        <v>5.0</v>
      </c>
      <c r="N522" s="12">
        <v>5.0</v>
      </c>
      <c r="O522" s="12">
        <v>5.0</v>
      </c>
      <c r="P522" s="12">
        <v>10.0</v>
      </c>
      <c r="T522" s="15">
        <v>0.0</v>
      </c>
    </row>
    <row r="523" ht="22.5" customHeight="1">
      <c r="A523" s="11">
        <v>46303.636964351856</v>
      </c>
      <c r="H523" s="12">
        <v>4.0</v>
      </c>
      <c r="I523" s="12">
        <v>5.0</v>
      </c>
      <c r="J523" s="12">
        <v>4.0</v>
      </c>
      <c r="L523" s="12">
        <v>4.0</v>
      </c>
      <c r="M523" s="12">
        <v>5.0</v>
      </c>
      <c r="N523" s="12">
        <v>5.0</v>
      </c>
      <c r="O523" s="12">
        <v>4.0</v>
      </c>
      <c r="P523" s="12">
        <v>9.0</v>
      </c>
      <c r="Q523" s="12" t="s">
        <v>174</v>
      </c>
      <c r="R523" s="12" t="s">
        <v>446</v>
      </c>
      <c r="T523" s="15">
        <v>0.0</v>
      </c>
      <c r="V523" s="12" t="s">
        <v>447</v>
      </c>
    </row>
    <row r="524" ht="22.5" customHeight="1">
      <c r="A524" s="11">
        <v>46303.6382237037</v>
      </c>
      <c r="H524" s="12">
        <v>3.0</v>
      </c>
      <c r="I524" s="12">
        <v>3.0</v>
      </c>
      <c r="J524" s="12">
        <v>3.0</v>
      </c>
      <c r="K524" s="12">
        <v>3.0</v>
      </c>
      <c r="L524" s="12">
        <v>3.0</v>
      </c>
      <c r="M524" s="12">
        <v>3.0</v>
      </c>
      <c r="N524" s="12">
        <v>3.0</v>
      </c>
      <c r="O524" s="12">
        <v>3.0</v>
      </c>
      <c r="P524" s="12">
        <v>5.0</v>
      </c>
      <c r="Q524" s="12" t="s">
        <v>226</v>
      </c>
      <c r="R524" s="12" t="s">
        <v>448</v>
      </c>
      <c r="T524" s="15">
        <v>0.0</v>
      </c>
      <c r="V524" s="12" t="s">
        <v>449</v>
      </c>
    </row>
    <row r="525" ht="22.5" customHeight="1">
      <c r="A525" s="11">
        <v>46303.63986939815</v>
      </c>
      <c r="H525" s="12">
        <v>4.0</v>
      </c>
      <c r="I525" s="12">
        <v>3.0</v>
      </c>
      <c r="J525" s="12">
        <v>3.0</v>
      </c>
      <c r="K525" s="12">
        <v>3.0</v>
      </c>
      <c r="L525" s="12">
        <v>3.0</v>
      </c>
      <c r="M525" s="12">
        <v>4.0</v>
      </c>
      <c r="N525" s="12">
        <v>3.0</v>
      </c>
      <c r="O525" s="12">
        <v>4.0</v>
      </c>
      <c r="P525" s="12">
        <v>7.0</v>
      </c>
      <c r="T525" s="15">
        <v>0.0</v>
      </c>
      <c r="V525" s="12" t="s">
        <v>450</v>
      </c>
    </row>
    <row r="526" ht="22.5" customHeight="1">
      <c r="A526" s="11">
        <v>46303.640076724536</v>
      </c>
      <c r="H526" s="12">
        <v>3.0</v>
      </c>
      <c r="I526" s="12">
        <v>3.0</v>
      </c>
      <c r="J526" s="12">
        <v>3.0</v>
      </c>
      <c r="K526" s="12">
        <v>3.0</v>
      </c>
      <c r="L526" s="12">
        <v>3.0</v>
      </c>
      <c r="M526" s="12">
        <v>3.0</v>
      </c>
      <c r="N526" s="12">
        <v>3.0</v>
      </c>
      <c r="O526" s="12">
        <v>3.0</v>
      </c>
      <c r="P526" s="12">
        <v>5.0</v>
      </c>
      <c r="Q526" s="12" t="s">
        <v>226</v>
      </c>
      <c r="R526" s="12" t="s">
        <v>451</v>
      </c>
      <c r="T526" s="15">
        <v>0.0</v>
      </c>
      <c r="V526" s="12" t="s">
        <v>449</v>
      </c>
    </row>
    <row r="527" ht="22.5" customHeight="1">
      <c r="A527" s="11">
        <v>46303.64149835648</v>
      </c>
      <c r="H527" s="12">
        <v>5.0</v>
      </c>
      <c r="I527" s="12">
        <v>5.0</v>
      </c>
      <c r="J527" s="12">
        <v>5.0</v>
      </c>
      <c r="K527" s="12">
        <v>5.0</v>
      </c>
      <c r="L527" s="12">
        <v>5.0</v>
      </c>
      <c r="M527" s="12">
        <v>5.0</v>
      </c>
      <c r="N527" s="12">
        <v>5.0</v>
      </c>
      <c r="O527" s="12">
        <v>5.0</v>
      </c>
      <c r="P527" s="12">
        <v>10.0</v>
      </c>
      <c r="Q527" s="12" t="s">
        <v>179</v>
      </c>
      <c r="R527" s="12" t="s">
        <v>179</v>
      </c>
      <c r="T527" s="15">
        <v>0.0</v>
      </c>
      <c r="V527" s="12" t="s">
        <v>452</v>
      </c>
    </row>
    <row r="528" ht="22.5" customHeight="1">
      <c r="A528" s="11">
        <v>46303.64151427083</v>
      </c>
      <c r="H528" s="12">
        <v>4.0</v>
      </c>
      <c r="I528" s="12">
        <v>4.0</v>
      </c>
      <c r="J528" s="12">
        <v>5.0</v>
      </c>
      <c r="K528" s="12">
        <v>4.0</v>
      </c>
      <c r="L528" s="12">
        <v>5.0</v>
      </c>
      <c r="N528" s="12">
        <v>4.0</v>
      </c>
      <c r="O528" s="12">
        <v>5.0</v>
      </c>
      <c r="P528" s="12">
        <v>8.0</v>
      </c>
      <c r="T528" s="15">
        <v>0.0</v>
      </c>
      <c r="V528" s="12" t="s">
        <v>453</v>
      </c>
    </row>
    <row r="529" ht="22.5" customHeight="1">
      <c r="A529" s="11">
        <v>46303.642241388894</v>
      </c>
      <c r="H529" s="12">
        <v>4.0</v>
      </c>
      <c r="I529" s="12">
        <v>4.0</v>
      </c>
      <c r="J529" s="12">
        <v>4.0</v>
      </c>
      <c r="K529" s="12">
        <v>4.0</v>
      </c>
      <c r="L529" s="12">
        <v>3.0</v>
      </c>
      <c r="M529" s="12">
        <v>4.0</v>
      </c>
      <c r="N529" s="12">
        <v>4.0</v>
      </c>
      <c r="O529" s="12">
        <v>4.0</v>
      </c>
      <c r="P529" s="12">
        <v>9.0</v>
      </c>
      <c r="Q529" s="12" t="s">
        <v>44</v>
      </c>
      <c r="T529" s="15">
        <v>0.0</v>
      </c>
      <c r="V529" s="12" t="s">
        <v>454</v>
      </c>
    </row>
    <row r="530" ht="22.5" customHeight="1">
      <c r="A530" s="11">
        <v>46303.642640578706</v>
      </c>
      <c r="H530" s="12">
        <v>2.0</v>
      </c>
      <c r="I530" s="12">
        <v>3.0</v>
      </c>
      <c r="J530" s="12">
        <v>3.0</v>
      </c>
      <c r="K530" s="12">
        <v>3.0</v>
      </c>
      <c r="L530" s="12">
        <v>3.0</v>
      </c>
      <c r="M530" s="12">
        <v>3.0</v>
      </c>
      <c r="N530" s="12">
        <v>3.0</v>
      </c>
      <c r="O530" s="12">
        <v>3.0</v>
      </c>
      <c r="P530" s="12">
        <v>3.0</v>
      </c>
      <c r="T530" s="15">
        <v>0.0</v>
      </c>
      <c r="V530" s="12" t="s">
        <v>455</v>
      </c>
    </row>
    <row r="531" ht="22.5" customHeight="1">
      <c r="A531" s="11">
        <v>46303.64334357639</v>
      </c>
      <c r="H531" s="12">
        <v>4.0</v>
      </c>
      <c r="I531" s="12">
        <v>4.0</v>
      </c>
      <c r="J531" s="12">
        <v>4.0</v>
      </c>
      <c r="K531" s="12">
        <v>4.0</v>
      </c>
      <c r="L531" s="12">
        <v>4.0</v>
      </c>
      <c r="M531" s="12">
        <v>4.0</v>
      </c>
      <c r="N531" s="12">
        <v>4.0</v>
      </c>
      <c r="O531" s="12">
        <v>4.0</v>
      </c>
      <c r="P531" s="12">
        <v>9.0</v>
      </c>
      <c r="Q531" s="12" t="s">
        <v>174</v>
      </c>
      <c r="R531" s="12" t="s">
        <v>71</v>
      </c>
      <c r="T531" s="15">
        <v>0.0</v>
      </c>
      <c r="V531" s="12" t="s">
        <v>454</v>
      </c>
    </row>
    <row r="532" ht="22.5" customHeight="1">
      <c r="A532" s="11">
        <v>46303.64335613426</v>
      </c>
      <c r="H532" s="12">
        <v>4.0</v>
      </c>
      <c r="I532" s="12">
        <v>4.0</v>
      </c>
      <c r="J532" s="12">
        <v>4.0</v>
      </c>
      <c r="K532" s="12">
        <v>4.0</v>
      </c>
      <c r="L532" s="12">
        <v>4.0</v>
      </c>
      <c r="M532" s="12">
        <v>4.0</v>
      </c>
      <c r="N532" s="12">
        <v>4.0</v>
      </c>
      <c r="O532" s="12">
        <v>5.0</v>
      </c>
      <c r="P532" s="12">
        <v>8.0</v>
      </c>
      <c r="Q532" s="12" t="s">
        <v>456</v>
      </c>
      <c r="R532" s="12" t="s">
        <v>457</v>
      </c>
      <c r="T532" s="15">
        <v>0.0</v>
      </c>
      <c r="V532" s="12" t="s">
        <v>458</v>
      </c>
    </row>
    <row r="533" ht="22.5" customHeight="1">
      <c r="A533" s="11">
        <v>46303.64347407407</v>
      </c>
      <c r="H533" s="12">
        <v>3.0</v>
      </c>
      <c r="I533" s="12">
        <v>3.0</v>
      </c>
      <c r="J533" s="12">
        <v>3.0</v>
      </c>
      <c r="K533" s="12">
        <v>3.0</v>
      </c>
      <c r="L533" s="12">
        <v>3.0</v>
      </c>
      <c r="M533" s="12">
        <v>3.0</v>
      </c>
      <c r="N533" s="12">
        <v>3.0</v>
      </c>
      <c r="O533" s="12">
        <v>3.0</v>
      </c>
      <c r="P533" s="12">
        <v>6.0</v>
      </c>
      <c r="T533" s="15">
        <v>0.0</v>
      </c>
      <c r="V533" s="12" t="s">
        <v>459</v>
      </c>
    </row>
    <row r="534" ht="22.5" customHeight="1">
      <c r="A534" s="11">
        <v>46303.65222329861</v>
      </c>
      <c r="H534" s="12">
        <v>5.0</v>
      </c>
      <c r="I534" s="12">
        <v>5.0</v>
      </c>
      <c r="J534" s="12">
        <v>5.0</v>
      </c>
      <c r="K534" s="12">
        <v>5.0</v>
      </c>
      <c r="L534" s="12">
        <v>5.0</v>
      </c>
      <c r="M534" s="12">
        <v>4.0</v>
      </c>
      <c r="N534" s="12">
        <v>5.0</v>
      </c>
      <c r="O534" s="12">
        <v>5.0</v>
      </c>
      <c r="P534" s="12">
        <v>10.0</v>
      </c>
      <c r="T534" s="15">
        <v>0.0</v>
      </c>
      <c r="V534" s="12" t="s">
        <v>460</v>
      </c>
    </row>
    <row r="535" ht="22.5" customHeight="1">
      <c r="A535" s="11">
        <v>46303.65329826389</v>
      </c>
      <c r="H535" s="12">
        <v>4.0</v>
      </c>
      <c r="I535" s="12">
        <v>4.0</v>
      </c>
      <c r="J535" s="12">
        <v>4.0</v>
      </c>
      <c r="K535" s="12">
        <v>4.0</v>
      </c>
      <c r="L535" s="12">
        <v>4.0</v>
      </c>
      <c r="M535" s="12">
        <v>4.0</v>
      </c>
      <c r="N535" s="12">
        <v>4.0</v>
      </c>
      <c r="O535" s="12">
        <v>4.0</v>
      </c>
      <c r="P535" s="12">
        <v>8.0</v>
      </c>
      <c r="Q535" s="12" t="s">
        <v>44</v>
      </c>
      <c r="R535" s="12" t="s">
        <v>41</v>
      </c>
      <c r="T535" s="15">
        <v>0.0</v>
      </c>
      <c r="V535" s="12" t="s">
        <v>461</v>
      </c>
    </row>
    <row r="536" ht="22.5" customHeight="1">
      <c r="A536" s="11">
        <v>46303.65647439814</v>
      </c>
      <c r="H536" s="12">
        <v>3.0</v>
      </c>
      <c r="I536" s="12">
        <v>3.0</v>
      </c>
      <c r="J536" s="12">
        <v>3.0</v>
      </c>
      <c r="K536" s="12">
        <v>3.0</v>
      </c>
      <c r="L536" s="12">
        <v>3.0</v>
      </c>
      <c r="M536" s="12">
        <v>3.0</v>
      </c>
      <c r="N536" s="12">
        <v>3.0</v>
      </c>
      <c r="O536" s="12">
        <v>3.0</v>
      </c>
      <c r="P536" s="12">
        <v>5.0</v>
      </c>
      <c r="T536" s="15">
        <v>0.0</v>
      </c>
      <c r="V536" s="12" t="s">
        <v>462</v>
      </c>
    </row>
    <row r="537" ht="22.5" customHeight="1">
      <c r="A537" s="11">
        <v>46303.65919553241</v>
      </c>
      <c r="H537" s="12">
        <v>5.0</v>
      </c>
      <c r="I537" s="12">
        <v>5.0</v>
      </c>
      <c r="J537" s="12">
        <v>5.0</v>
      </c>
      <c r="K537" s="12">
        <v>5.0</v>
      </c>
      <c r="L537" s="12">
        <v>5.0</v>
      </c>
      <c r="M537" s="12">
        <v>5.0</v>
      </c>
      <c r="N537" s="12">
        <v>5.0</v>
      </c>
      <c r="O537" s="12">
        <v>5.0</v>
      </c>
      <c r="P537" s="12">
        <v>10.0</v>
      </c>
      <c r="Q537" s="12" t="s">
        <v>463</v>
      </c>
      <c r="R537" s="12" t="s">
        <v>71</v>
      </c>
      <c r="T537" s="15">
        <v>0.0</v>
      </c>
      <c r="U537" s="12" t="s">
        <v>464</v>
      </c>
      <c r="V537" s="12" t="s">
        <v>465</v>
      </c>
    </row>
    <row r="538" ht="22.5" customHeight="1">
      <c r="A538" s="11">
        <v>46303.659943645835</v>
      </c>
      <c r="H538" s="12">
        <v>5.0</v>
      </c>
      <c r="I538" s="12">
        <v>4.0</v>
      </c>
      <c r="J538" s="12">
        <v>4.0</v>
      </c>
      <c r="K538" s="12">
        <v>5.0</v>
      </c>
      <c r="L538" s="12">
        <v>4.0</v>
      </c>
      <c r="M538" s="12">
        <v>4.0</v>
      </c>
      <c r="N538" s="12">
        <v>4.0</v>
      </c>
      <c r="O538" s="12">
        <v>4.0</v>
      </c>
      <c r="P538" s="12">
        <v>9.0</v>
      </c>
      <c r="T538" s="15">
        <v>0.0</v>
      </c>
      <c r="V538" s="12" t="s">
        <v>466</v>
      </c>
    </row>
    <row r="539" ht="22.5" customHeight="1">
      <c r="A539" s="11">
        <v>46303.66027918982</v>
      </c>
      <c r="H539" s="12">
        <v>5.0</v>
      </c>
      <c r="I539" s="12">
        <v>4.0</v>
      </c>
      <c r="J539" s="12">
        <v>4.0</v>
      </c>
      <c r="K539" s="12">
        <v>3.0</v>
      </c>
      <c r="L539" s="12">
        <v>3.0</v>
      </c>
      <c r="M539" s="12">
        <v>4.0</v>
      </c>
      <c r="N539" s="12">
        <v>4.0</v>
      </c>
      <c r="O539" s="12">
        <v>4.0</v>
      </c>
      <c r="P539" s="12">
        <v>10.0</v>
      </c>
      <c r="Q539" s="12" t="s">
        <v>194</v>
      </c>
      <c r="R539" s="12" t="s">
        <v>467</v>
      </c>
      <c r="T539" s="15">
        <v>0.0</v>
      </c>
      <c r="V539" s="12" t="s">
        <v>468</v>
      </c>
    </row>
    <row r="540" ht="22.5" customHeight="1">
      <c r="A540" s="11">
        <v>46303.660944641204</v>
      </c>
      <c r="H540" s="12">
        <v>5.0</v>
      </c>
      <c r="I540" s="12">
        <v>5.0</v>
      </c>
      <c r="J540" s="12">
        <v>5.0</v>
      </c>
      <c r="K540" s="12">
        <v>5.0</v>
      </c>
      <c r="L540" s="12">
        <v>5.0</v>
      </c>
      <c r="M540" s="12">
        <v>5.0</v>
      </c>
      <c r="N540" s="12">
        <v>5.0</v>
      </c>
      <c r="O540" s="12">
        <v>5.0</v>
      </c>
      <c r="P540" s="12">
        <v>8.0</v>
      </c>
      <c r="Q540" s="12" t="s">
        <v>469</v>
      </c>
      <c r="R540" s="12" t="s">
        <v>470</v>
      </c>
      <c r="T540" s="15">
        <v>0.0</v>
      </c>
      <c r="U540" s="12" t="s">
        <v>471</v>
      </c>
      <c r="V540" s="12" t="s">
        <v>472</v>
      </c>
    </row>
    <row r="541" ht="22.5" customHeight="1">
      <c r="A541" s="11">
        <v>46303.6610915162</v>
      </c>
      <c r="H541" s="12">
        <v>4.0</v>
      </c>
      <c r="I541" s="12">
        <v>4.0</v>
      </c>
      <c r="J541" s="12">
        <v>4.0</v>
      </c>
      <c r="K541" s="12">
        <v>4.0</v>
      </c>
      <c r="L541" s="12">
        <v>4.0</v>
      </c>
      <c r="M541" s="12">
        <v>4.0</v>
      </c>
      <c r="N541" s="12">
        <v>4.0</v>
      </c>
      <c r="O541" s="12">
        <v>4.0</v>
      </c>
      <c r="P541" s="12">
        <v>8.0</v>
      </c>
      <c r="T541" s="15">
        <v>0.0</v>
      </c>
      <c r="V541" s="12" t="s">
        <v>473</v>
      </c>
    </row>
    <row r="542" ht="22.5" customHeight="1">
      <c r="A542" s="11">
        <v>46303.663167025465</v>
      </c>
      <c r="H542" s="12">
        <v>4.0</v>
      </c>
      <c r="I542" s="12">
        <v>5.0</v>
      </c>
      <c r="J542" s="12">
        <v>4.0</v>
      </c>
      <c r="K542" s="12">
        <v>5.0</v>
      </c>
      <c r="L542" s="12">
        <v>4.0</v>
      </c>
      <c r="M542" s="12">
        <v>5.0</v>
      </c>
      <c r="N542" s="12">
        <v>4.0</v>
      </c>
      <c r="O542" s="12">
        <v>4.0</v>
      </c>
      <c r="P542" s="12">
        <v>8.0</v>
      </c>
      <c r="Q542" s="12" t="s">
        <v>474</v>
      </c>
      <c r="R542" s="12" t="s">
        <v>471</v>
      </c>
      <c r="T542" s="15">
        <v>0.0</v>
      </c>
      <c r="U542" s="12" t="s">
        <v>475</v>
      </c>
      <c r="V542" s="12" t="s">
        <v>476</v>
      </c>
    </row>
    <row r="543" ht="22.5" customHeight="1">
      <c r="A543" s="11">
        <v>46303.66344695602</v>
      </c>
      <c r="H543" s="12">
        <v>3.0</v>
      </c>
      <c r="I543" s="12">
        <v>3.0</v>
      </c>
      <c r="J543" s="12">
        <v>3.0</v>
      </c>
      <c r="K543" s="12">
        <v>3.0</v>
      </c>
      <c r="L543" s="12">
        <v>4.0</v>
      </c>
      <c r="M543" s="12">
        <v>4.0</v>
      </c>
      <c r="N543" s="12">
        <v>4.0</v>
      </c>
      <c r="O543" s="12">
        <v>4.0</v>
      </c>
      <c r="P543" s="12">
        <v>10.0</v>
      </c>
      <c r="T543" s="15">
        <v>0.0</v>
      </c>
      <c r="V543" s="12" t="s">
        <v>477</v>
      </c>
    </row>
    <row r="544" ht="22.5" customHeight="1">
      <c r="A544" s="11">
        <v>46303.664445856484</v>
      </c>
      <c r="H544" s="12">
        <v>4.0</v>
      </c>
      <c r="I544" s="12">
        <v>4.0</v>
      </c>
      <c r="J544" s="12">
        <v>4.0</v>
      </c>
      <c r="K544" s="12">
        <v>4.0</v>
      </c>
      <c r="L544" s="12">
        <v>4.0</v>
      </c>
      <c r="M544" s="12">
        <v>5.0</v>
      </c>
      <c r="N544" s="12">
        <v>5.0</v>
      </c>
      <c r="O544" s="12">
        <v>4.0</v>
      </c>
      <c r="P544" s="12">
        <v>8.0</v>
      </c>
      <c r="Q544" s="12" t="s">
        <v>478</v>
      </c>
      <c r="R544" s="12" t="s">
        <v>471</v>
      </c>
      <c r="T544" s="15">
        <v>0.0</v>
      </c>
      <c r="U544" s="12" t="s">
        <v>471</v>
      </c>
      <c r="V544" s="12" t="s">
        <v>476</v>
      </c>
    </row>
    <row r="545" ht="22.5" customHeight="1">
      <c r="A545" s="11">
        <v>46303.66572269676</v>
      </c>
      <c r="H545" s="12">
        <v>4.0</v>
      </c>
      <c r="I545" s="12">
        <v>4.0</v>
      </c>
      <c r="J545" s="12">
        <v>1.0</v>
      </c>
      <c r="K545" s="12">
        <v>5.0</v>
      </c>
      <c r="L545" s="12">
        <v>5.0</v>
      </c>
      <c r="M545" s="12">
        <v>1.0</v>
      </c>
      <c r="N545" s="12">
        <v>3.0</v>
      </c>
      <c r="O545" s="12">
        <v>3.0</v>
      </c>
      <c r="P545" s="12">
        <v>5.0</v>
      </c>
      <c r="T545" s="15">
        <v>0.0</v>
      </c>
      <c r="V545" s="12" t="s">
        <v>479</v>
      </c>
    </row>
    <row r="546" ht="22.5" customHeight="1">
      <c r="A546" s="11">
        <v>46303.672730763894</v>
      </c>
      <c r="H546" s="12">
        <v>5.0</v>
      </c>
      <c r="J546" s="12">
        <v>5.0</v>
      </c>
      <c r="L546" s="12">
        <v>5.0</v>
      </c>
      <c r="M546" s="12">
        <v>5.0</v>
      </c>
      <c r="N546" s="12">
        <v>5.0</v>
      </c>
      <c r="O546" s="12">
        <v>5.0</v>
      </c>
      <c r="P546" s="12">
        <v>10.0</v>
      </c>
      <c r="T546" s="15">
        <v>0.0</v>
      </c>
      <c r="V546" s="12" t="s">
        <v>480</v>
      </c>
    </row>
    <row r="547" ht="22.5" customHeight="1">
      <c r="A547" s="11">
        <v>46303.67781034722</v>
      </c>
      <c r="H547" s="12">
        <v>4.0</v>
      </c>
      <c r="I547" s="12">
        <v>4.0</v>
      </c>
      <c r="J547" s="12">
        <v>4.0</v>
      </c>
      <c r="K547" s="12">
        <v>4.0</v>
      </c>
      <c r="L547" s="12">
        <v>3.0</v>
      </c>
      <c r="M547" s="12">
        <v>4.0</v>
      </c>
      <c r="N547" s="12">
        <v>4.0</v>
      </c>
      <c r="O547" s="12">
        <v>3.0</v>
      </c>
      <c r="P547" s="12">
        <v>5.0</v>
      </c>
      <c r="Q547" s="12" t="s">
        <v>38</v>
      </c>
      <c r="R547" s="12" t="s">
        <v>38</v>
      </c>
      <c r="T547" s="15">
        <v>0.0</v>
      </c>
      <c r="V547" s="12" t="s">
        <v>481</v>
      </c>
    </row>
    <row r="548" ht="22.5" customHeight="1">
      <c r="A548" s="11">
        <v>46303.67939398148</v>
      </c>
      <c r="H548" s="12">
        <v>4.0</v>
      </c>
      <c r="I548" s="12">
        <v>4.0</v>
      </c>
      <c r="J548" s="12">
        <v>4.0</v>
      </c>
      <c r="K548" s="12">
        <v>4.0</v>
      </c>
      <c r="L548" s="12">
        <v>4.0</v>
      </c>
      <c r="M548" s="12">
        <v>4.0</v>
      </c>
      <c r="N548" s="12">
        <v>4.0</v>
      </c>
      <c r="O548" s="12">
        <v>4.0</v>
      </c>
      <c r="P548" s="12">
        <v>9.0</v>
      </c>
      <c r="Q548" s="12" t="s">
        <v>482</v>
      </c>
      <c r="R548" s="12" t="s">
        <v>483</v>
      </c>
      <c r="T548" s="15">
        <v>0.0</v>
      </c>
      <c r="V548" s="12" t="s">
        <v>484</v>
      </c>
    </row>
    <row r="549" ht="22.5" customHeight="1">
      <c r="A549" s="11">
        <v>46303.68390079861</v>
      </c>
      <c r="H549" s="12">
        <v>3.0</v>
      </c>
      <c r="I549" s="12">
        <v>2.0</v>
      </c>
      <c r="J549" s="12">
        <v>3.0</v>
      </c>
      <c r="L549" s="12">
        <v>4.0</v>
      </c>
      <c r="M549" s="12">
        <v>3.0</v>
      </c>
      <c r="N549" s="12">
        <v>4.0</v>
      </c>
      <c r="O549" s="12">
        <v>3.0</v>
      </c>
      <c r="P549" s="12">
        <v>6.0</v>
      </c>
      <c r="R549" s="12" t="s">
        <v>485</v>
      </c>
      <c r="T549" s="15">
        <v>0.0</v>
      </c>
      <c r="V549" s="12" t="s">
        <v>486</v>
      </c>
    </row>
    <row r="550" ht="22.5" customHeight="1">
      <c r="A550" s="11">
        <v>46303.68471417824</v>
      </c>
      <c r="H550" s="12">
        <v>3.0</v>
      </c>
      <c r="I550" s="12">
        <v>3.0</v>
      </c>
      <c r="J550" s="12">
        <v>3.0</v>
      </c>
      <c r="K550" s="12">
        <v>3.0</v>
      </c>
      <c r="L550" s="12">
        <v>4.0</v>
      </c>
      <c r="M550" s="12">
        <v>3.0</v>
      </c>
      <c r="N550" s="12">
        <v>4.0</v>
      </c>
      <c r="O550" s="12">
        <v>3.0</v>
      </c>
      <c r="P550" s="12">
        <v>6.0</v>
      </c>
      <c r="T550" s="15">
        <v>0.0</v>
      </c>
      <c r="V550" s="12" t="s">
        <v>486</v>
      </c>
    </row>
    <row r="551" ht="22.5" customHeight="1">
      <c r="A551" s="11">
        <v>46303.68904993056</v>
      </c>
      <c r="H551" s="12">
        <v>4.0</v>
      </c>
      <c r="I551" s="12">
        <v>4.0</v>
      </c>
      <c r="J551" s="12">
        <v>4.0</v>
      </c>
      <c r="K551" s="12">
        <v>4.0</v>
      </c>
      <c r="L551" s="12">
        <v>4.0</v>
      </c>
      <c r="M551" s="12">
        <v>4.0</v>
      </c>
      <c r="N551" s="12">
        <v>4.0</v>
      </c>
      <c r="O551" s="12">
        <v>4.0</v>
      </c>
      <c r="P551" s="12">
        <v>10.0</v>
      </c>
      <c r="Q551" s="12" t="s">
        <v>487</v>
      </c>
      <c r="R551" s="12" t="s">
        <v>488</v>
      </c>
      <c r="T551" s="15">
        <v>0.0</v>
      </c>
      <c r="V551" s="12" t="s">
        <v>489</v>
      </c>
    </row>
    <row r="552" ht="22.5" customHeight="1">
      <c r="A552" s="11">
        <v>46303.703072627315</v>
      </c>
      <c r="H552" s="12">
        <v>4.0</v>
      </c>
      <c r="I552" s="12">
        <v>3.0</v>
      </c>
      <c r="J552" s="12">
        <v>3.0</v>
      </c>
      <c r="K552" s="12">
        <v>4.0</v>
      </c>
      <c r="L552" s="12">
        <v>4.0</v>
      </c>
      <c r="M552" s="12">
        <v>3.0</v>
      </c>
      <c r="N552" s="12">
        <v>3.0</v>
      </c>
      <c r="O552" s="12">
        <v>3.0</v>
      </c>
      <c r="P552" s="12">
        <v>8.0</v>
      </c>
      <c r="T552" s="15">
        <v>0.0</v>
      </c>
      <c r="V552" s="12" t="s">
        <v>490</v>
      </c>
    </row>
    <row r="553" ht="22.5" customHeight="1">
      <c r="A553" s="11">
        <v>46303.70767200232</v>
      </c>
      <c r="H553" s="12">
        <v>5.0</v>
      </c>
      <c r="I553" s="12">
        <v>5.0</v>
      </c>
      <c r="J553" s="12">
        <v>5.0</v>
      </c>
      <c r="K553" s="12">
        <v>5.0</v>
      </c>
      <c r="L553" s="12">
        <v>5.0</v>
      </c>
      <c r="M553" s="12">
        <v>5.0</v>
      </c>
      <c r="N553" s="12">
        <v>5.0</v>
      </c>
      <c r="O553" s="12">
        <v>5.0</v>
      </c>
      <c r="P553" s="12">
        <v>10.0</v>
      </c>
      <c r="T553" s="15">
        <v>0.0</v>
      </c>
      <c r="V553" s="12" t="s">
        <v>491</v>
      </c>
    </row>
    <row r="554" ht="22.5" customHeight="1">
      <c r="A554" s="11">
        <v>46303.72027048611</v>
      </c>
      <c r="H554" s="12">
        <v>4.0</v>
      </c>
      <c r="I554" s="12">
        <v>3.0</v>
      </c>
      <c r="J554" s="12">
        <v>4.0</v>
      </c>
      <c r="K554" s="12">
        <v>4.0</v>
      </c>
      <c r="L554" s="12">
        <v>3.0</v>
      </c>
      <c r="M554" s="12">
        <v>4.0</v>
      </c>
      <c r="N554" s="12">
        <v>4.0</v>
      </c>
      <c r="O554" s="12">
        <v>5.0</v>
      </c>
      <c r="P554" s="12">
        <v>8.0</v>
      </c>
      <c r="T554" s="15">
        <v>0.0</v>
      </c>
      <c r="V554" s="12" t="s">
        <v>492</v>
      </c>
    </row>
    <row r="555" ht="22.5" customHeight="1">
      <c r="A555" s="11">
        <v>46303.726963333334</v>
      </c>
      <c r="H555" s="12">
        <v>4.0</v>
      </c>
      <c r="I555" s="12">
        <v>5.0</v>
      </c>
      <c r="J555" s="12">
        <v>5.0</v>
      </c>
      <c r="K555" s="12">
        <v>4.0</v>
      </c>
      <c r="L555" s="12">
        <v>5.0</v>
      </c>
      <c r="M555" s="12">
        <v>5.0</v>
      </c>
      <c r="N555" s="12">
        <v>4.0</v>
      </c>
      <c r="O555" s="12">
        <v>4.0</v>
      </c>
      <c r="P555" s="12">
        <v>8.0</v>
      </c>
      <c r="Q555" s="12" t="s">
        <v>493</v>
      </c>
      <c r="T555" s="15">
        <v>0.0</v>
      </c>
      <c r="V555" s="12" t="s">
        <v>494</v>
      </c>
    </row>
    <row r="556" ht="22.5" customHeight="1">
      <c r="A556" s="11">
        <v>46303.73306204861</v>
      </c>
      <c r="H556" s="12">
        <v>4.0</v>
      </c>
      <c r="I556" s="12">
        <v>5.0</v>
      </c>
      <c r="J556" s="12">
        <v>4.0</v>
      </c>
      <c r="K556" s="12">
        <v>2.0</v>
      </c>
      <c r="L556" s="12">
        <v>5.0</v>
      </c>
      <c r="M556" s="12">
        <v>1.0</v>
      </c>
      <c r="N556" s="12">
        <v>1.0</v>
      </c>
      <c r="O556" s="12">
        <v>2.0</v>
      </c>
      <c r="P556" s="12">
        <v>5.0</v>
      </c>
      <c r="Q556" s="12" t="s">
        <v>44</v>
      </c>
      <c r="R556" s="12" t="s">
        <v>495</v>
      </c>
      <c r="T556" s="15">
        <v>0.0</v>
      </c>
      <c r="V556" s="12" t="s">
        <v>496</v>
      </c>
    </row>
    <row r="557" ht="22.5" customHeight="1">
      <c r="A557" s="11">
        <v>46303.74106408565</v>
      </c>
      <c r="H557" s="12">
        <v>3.0</v>
      </c>
      <c r="I557" s="12">
        <v>4.0</v>
      </c>
      <c r="J557" s="12">
        <v>4.0</v>
      </c>
      <c r="K557" s="12">
        <v>5.0</v>
      </c>
      <c r="L557" s="12">
        <v>4.0</v>
      </c>
      <c r="M557" s="12">
        <v>4.0</v>
      </c>
      <c r="N557" s="12">
        <v>4.0</v>
      </c>
      <c r="O557" s="12">
        <v>3.0</v>
      </c>
      <c r="P557" s="12">
        <v>7.0</v>
      </c>
      <c r="Q557" s="12" t="s">
        <v>44</v>
      </c>
      <c r="R557" s="12" t="s">
        <v>497</v>
      </c>
      <c r="T557" s="15">
        <v>0.0</v>
      </c>
      <c r="U557" s="12" t="s">
        <v>471</v>
      </c>
      <c r="V557" s="12" t="s">
        <v>498</v>
      </c>
    </row>
    <row r="558" ht="22.5" customHeight="1">
      <c r="A558" s="11">
        <v>46303.74333835648</v>
      </c>
      <c r="H558" s="12">
        <v>4.0</v>
      </c>
      <c r="I558" s="12">
        <v>4.0</v>
      </c>
      <c r="J558" s="12">
        <v>4.0</v>
      </c>
      <c r="K558" s="12">
        <v>4.0</v>
      </c>
      <c r="L558" s="12">
        <v>3.0</v>
      </c>
      <c r="M558" s="12">
        <v>3.0</v>
      </c>
      <c r="N558" s="12">
        <v>3.0</v>
      </c>
      <c r="O558" s="12">
        <v>3.0</v>
      </c>
      <c r="P558" s="12">
        <v>7.0</v>
      </c>
      <c r="R558" s="12" t="s">
        <v>499</v>
      </c>
      <c r="T558" s="15">
        <v>0.0</v>
      </c>
      <c r="U558" s="12" t="s">
        <v>500</v>
      </c>
      <c r="V558" s="12" t="s">
        <v>498</v>
      </c>
    </row>
    <row r="559" ht="22.5" customHeight="1">
      <c r="A559" s="11">
        <v>46303.74727357639</v>
      </c>
      <c r="H559" s="12">
        <v>2.0</v>
      </c>
      <c r="I559" s="12">
        <v>2.0</v>
      </c>
      <c r="J559" s="12">
        <v>2.0</v>
      </c>
      <c r="K559" s="12">
        <v>3.0</v>
      </c>
      <c r="L559" s="12">
        <v>5.0</v>
      </c>
      <c r="M559" s="12">
        <v>2.0</v>
      </c>
      <c r="N559" s="12">
        <v>2.0</v>
      </c>
      <c r="O559" s="12">
        <v>2.0</v>
      </c>
      <c r="P559" s="12">
        <v>2.0</v>
      </c>
      <c r="Q559" s="12" t="s">
        <v>38</v>
      </c>
      <c r="R559" s="12" t="s">
        <v>38</v>
      </c>
      <c r="T559" s="15">
        <v>0.0</v>
      </c>
      <c r="V559" s="12" t="s">
        <v>501</v>
      </c>
    </row>
    <row r="560" ht="22.5" customHeight="1">
      <c r="A560" s="11">
        <v>46303.748068622685</v>
      </c>
      <c r="H560" s="12">
        <v>5.0</v>
      </c>
      <c r="I560" s="12">
        <v>5.0</v>
      </c>
      <c r="J560" s="12">
        <v>5.0</v>
      </c>
      <c r="K560" s="12">
        <v>5.0</v>
      </c>
      <c r="L560" s="12">
        <v>5.0</v>
      </c>
      <c r="M560" s="12">
        <v>5.0</v>
      </c>
      <c r="N560" s="12">
        <v>4.0</v>
      </c>
      <c r="O560" s="12">
        <v>5.0</v>
      </c>
      <c r="P560" s="12">
        <v>10.0</v>
      </c>
      <c r="T560" s="15">
        <v>0.0</v>
      </c>
      <c r="V560" s="12" t="s">
        <v>502</v>
      </c>
    </row>
    <row r="561" ht="22.5" customHeight="1">
      <c r="A561" s="11">
        <v>46303.748683784725</v>
      </c>
      <c r="H561" s="12">
        <v>5.0</v>
      </c>
      <c r="I561" s="12">
        <v>4.0</v>
      </c>
      <c r="J561" s="12">
        <v>4.0</v>
      </c>
      <c r="K561" s="12">
        <v>3.0</v>
      </c>
      <c r="L561" s="12">
        <v>4.0</v>
      </c>
      <c r="M561" s="12">
        <v>4.0</v>
      </c>
      <c r="N561" s="12">
        <v>4.0</v>
      </c>
      <c r="O561" s="12">
        <v>3.0</v>
      </c>
      <c r="P561" s="12">
        <v>8.0</v>
      </c>
      <c r="T561" s="15">
        <v>0.0</v>
      </c>
      <c r="V561" s="12" t="s">
        <v>503</v>
      </c>
    </row>
    <row r="562" ht="22.5" customHeight="1">
      <c r="A562" s="11">
        <v>46303.75094105324</v>
      </c>
      <c r="H562" s="12">
        <v>4.0</v>
      </c>
      <c r="I562" s="12">
        <v>5.0</v>
      </c>
      <c r="J562" s="12">
        <v>3.0</v>
      </c>
      <c r="K562" s="12">
        <v>5.0</v>
      </c>
      <c r="L562" s="12">
        <v>4.0</v>
      </c>
      <c r="M562" s="12">
        <v>5.0</v>
      </c>
      <c r="N562" s="12">
        <v>5.0</v>
      </c>
      <c r="O562" s="12">
        <v>5.0</v>
      </c>
      <c r="P562" s="12">
        <v>5.0</v>
      </c>
      <c r="Q562" s="12" t="s">
        <v>174</v>
      </c>
      <c r="R562" s="12" t="s">
        <v>120</v>
      </c>
      <c r="T562" s="15">
        <v>0.0</v>
      </c>
      <c r="V562" s="12" t="s">
        <v>504</v>
      </c>
    </row>
    <row r="563" ht="22.5" customHeight="1">
      <c r="A563" s="11">
        <v>46303.752739375</v>
      </c>
      <c r="H563" s="12">
        <v>3.0</v>
      </c>
      <c r="I563" s="12">
        <v>4.0</v>
      </c>
      <c r="J563" s="12">
        <v>4.0</v>
      </c>
      <c r="K563" s="12">
        <v>4.0</v>
      </c>
      <c r="L563" s="12">
        <v>3.0</v>
      </c>
      <c r="M563" s="12">
        <v>3.0</v>
      </c>
      <c r="N563" s="12">
        <v>3.0</v>
      </c>
      <c r="O563" s="12">
        <v>3.0</v>
      </c>
      <c r="P563" s="12">
        <v>8.0</v>
      </c>
      <c r="T563" s="15">
        <v>0.0</v>
      </c>
      <c r="V563" s="12" t="s">
        <v>505</v>
      </c>
    </row>
    <row r="564" ht="22.5" customHeight="1">
      <c r="A564" s="11">
        <v>46303.75347856482</v>
      </c>
      <c r="H564" s="12">
        <v>4.0</v>
      </c>
      <c r="I564" s="12">
        <v>4.0</v>
      </c>
      <c r="J564" s="12">
        <v>5.0</v>
      </c>
      <c r="K564" s="12">
        <v>5.0</v>
      </c>
      <c r="L564" s="12">
        <v>5.0</v>
      </c>
      <c r="M564" s="12">
        <v>5.0</v>
      </c>
      <c r="N564" s="12">
        <v>5.0</v>
      </c>
      <c r="O564" s="12">
        <v>5.0</v>
      </c>
      <c r="P564" s="12">
        <v>8.0</v>
      </c>
      <c r="Q564" s="12" t="s">
        <v>328</v>
      </c>
      <c r="R564" s="12" t="s">
        <v>41</v>
      </c>
      <c r="T564" s="15">
        <v>0.0</v>
      </c>
      <c r="U564" s="12" t="s">
        <v>506</v>
      </c>
      <c r="V564" s="12" t="s">
        <v>507</v>
      </c>
    </row>
    <row r="565" ht="22.5" customHeight="1">
      <c r="A565" s="11">
        <v>46303.75613608796</v>
      </c>
      <c r="H565" s="12">
        <v>4.0</v>
      </c>
      <c r="I565" s="12">
        <v>5.0</v>
      </c>
      <c r="J565" s="12">
        <v>4.0</v>
      </c>
      <c r="K565" s="12">
        <v>3.0</v>
      </c>
      <c r="L565" s="12">
        <v>2.0</v>
      </c>
      <c r="M565" s="12">
        <v>4.0</v>
      </c>
      <c r="N565" s="12">
        <v>4.0</v>
      </c>
      <c r="O565" s="12">
        <v>4.0</v>
      </c>
      <c r="P565" s="12">
        <v>7.0</v>
      </c>
      <c r="Q565" s="12" t="s">
        <v>508</v>
      </c>
      <c r="R565" s="12" t="s">
        <v>509</v>
      </c>
      <c r="T565" s="15">
        <v>0.0</v>
      </c>
      <c r="U565" s="12" t="s">
        <v>510</v>
      </c>
      <c r="V565" s="12" t="s">
        <v>511</v>
      </c>
    </row>
    <row r="566" ht="22.5" customHeight="1">
      <c r="A566" s="11">
        <v>46303.757577881945</v>
      </c>
      <c r="H566" s="12">
        <v>4.0</v>
      </c>
      <c r="I566" s="12">
        <v>4.0</v>
      </c>
      <c r="J566" s="12">
        <v>4.0</v>
      </c>
      <c r="K566" s="12">
        <v>4.0</v>
      </c>
      <c r="L566" s="12">
        <v>4.0</v>
      </c>
      <c r="M566" s="12">
        <v>4.0</v>
      </c>
      <c r="N566" s="12">
        <v>4.0</v>
      </c>
      <c r="O566" s="12">
        <v>4.0</v>
      </c>
      <c r="P566" s="12">
        <v>7.0</v>
      </c>
      <c r="T566" s="15">
        <v>0.0</v>
      </c>
      <c r="V566" s="12" t="s">
        <v>512</v>
      </c>
    </row>
    <row r="567" ht="22.5" customHeight="1">
      <c r="A567" s="11">
        <v>46303.76013596065</v>
      </c>
      <c r="H567" s="12">
        <v>5.0</v>
      </c>
      <c r="I567" s="12">
        <v>5.0</v>
      </c>
      <c r="J567" s="12">
        <v>5.0</v>
      </c>
      <c r="K567" s="12">
        <v>4.0</v>
      </c>
      <c r="L567" s="12">
        <v>4.0</v>
      </c>
      <c r="M567" s="12">
        <v>4.0</v>
      </c>
      <c r="N567" s="12">
        <v>4.0</v>
      </c>
      <c r="O567" s="12">
        <v>4.0</v>
      </c>
      <c r="P567" s="12">
        <v>9.0</v>
      </c>
      <c r="Q567" s="12" t="s">
        <v>44</v>
      </c>
      <c r="R567" s="12" t="s">
        <v>513</v>
      </c>
      <c r="T567" s="15">
        <v>0.0</v>
      </c>
      <c r="V567" s="12" t="s">
        <v>514</v>
      </c>
    </row>
    <row r="568" ht="22.5" customHeight="1">
      <c r="A568" s="11">
        <v>46303.76095408565</v>
      </c>
      <c r="H568" s="12">
        <v>5.0</v>
      </c>
      <c r="I568" s="12">
        <v>5.0</v>
      </c>
      <c r="J568" s="12">
        <v>4.0</v>
      </c>
      <c r="K568" s="12">
        <v>4.0</v>
      </c>
      <c r="L568" s="12">
        <v>4.0</v>
      </c>
      <c r="M568" s="12">
        <v>4.0</v>
      </c>
      <c r="N568" s="12">
        <v>5.0</v>
      </c>
      <c r="O568" s="12">
        <v>4.0</v>
      </c>
      <c r="P568" s="12">
        <v>8.0</v>
      </c>
      <c r="Q568" s="12" t="s">
        <v>44</v>
      </c>
      <c r="R568" s="12" t="s">
        <v>515</v>
      </c>
      <c r="T568" s="15">
        <v>0.0</v>
      </c>
      <c r="U568" s="12" t="s">
        <v>471</v>
      </c>
      <c r="V568" s="12" t="s">
        <v>516</v>
      </c>
    </row>
    <row r="569" ht="22.5" customHeight="1">
      <c r="A569" s="11">
        <v>46303.762512939815</v>
      </c>
      <c r="H569" s="12">
        <v>3.0</v>
      </c>
      <c r="I569" s="12">
        <v>3.0</v>
      </c>
      <c r="J569" s="12">
        <v>3.0</v>
      </c>
      <c r="K569" s="12">
        <v>4.0</v>
      </c>
      <c r="L569" s="12">
        <v>3.0</v>
      </c>
      <c r="M569" s="12">
        <v>4.0</v>
      </c>
      <c r="N569" s="12">
        <v>4.0</v>
      </c>
      <c r="O569" s="12">
        <v>3.0</v>
      </c>
      <c r="P569" s="12">
        <v>6.0</v>
      </c>
      <c r="T569" s="15">
        <v>0.0</v>
      </c>
      <c r="V569" s="12" t="s">
        <v>514</v>
      </c>
    </row>
    <row r="570" ht="22.5" customHeight="1">
      <c r="A570" s="11">
        <v>46303.762936377316</v>
      </c>
      <c r="H570" s="12">
        <v>5.0</v>
      </c>
      <c r="I570" s="12">
        <v>5.0</v>
      </c>
      <c r="J570" s="12">
        <v>5.0</v>
      </c>
      <c r="K570" s="12">
        <v>5.0</v>
      </c>
      <c r="L570" s="12">
        <v>5.0</v>
      </c>
      <c r="M570" s="12">
        <v>5.0</v>
      </c>
      <c r="N570" s="12">
        <v>5.0</v>
      </c>
      <c r="O570" s="12">
        <v>5.0</v>
      </c>
      <c r="P570" s="12">
        <v>8.0</v>
      </c>
      <c r="T570" s="15">
        <v>0.0</v>
      </c>
      <c r="V570" s="12" t="s">
        <v>517</v>
      </c>
    </row>
    <row r="571" ht="22.5" customHeight="1">
      <c r="A571" s="11">
        <v>46303.76355145834</v>
      </c>
      <c r="H571" s="12">
        <v>2.0</v>
      </c>
      <c r="I571" s="12">
        <v>2.0</v>
      </c>
      <c r="J571" s="12">
        <v>2.0</v>
      </c>
      <c r="K571" s="12">
        <v>2.0</v>
      </c>
      <c r="L571" s="12">
        <v>2.0</v>
      </c>
      <c r="M571" s="12">
        <v>2.0</v>
      </c>
      <c r="N571" s="12">
        <v>2.0</v>
      </c>
      <c r="O571" s="12">
        <v>2.0</v>
      </c>
      <c r="P571" s="12">
        <v>2.0</v>
      </c>
      <c r="Q571" s="12" t="s">
        <v>44</v>
      </c>
      <c r="R571" s="12" t="s">
        <v>518</v>
      </c>
      <c r="T571" s="15">
        <v>0.0</v>
      </c>
      <c r="V571" s="12" t="s">
        <v>519</v>
      </c>
    </row>
    <row r="572" ht="22.5" customHeight="1">
      <c r="A572" s="11">
        <v>46303.765721759264</v>
      </c>
      <c r="H572" s="12">
        <v>5.0</v>
      </c>
      <c r="I572" s="12">
        <v>5.0</v>
      </c>
      <c r="J572" s="12">
        <v>5.0</v>
      </c>
      <c r="K572" s="12">
        <v>5.0</v>
      </c>
      <c r="L572" s="12">
        <v>5.0</v>
      </c>
      <c r="M572" s="12">
        <v>5.0</v>
      </c>
      <c r="N572" s="12">
        <v>5.0</v>
      </c>
      <c r="O572" s="12">
        <v>5.0</v>
      </c>
      <c r="P572" s="12">
        <v>10.0</v>
      </c>
      <c r="T572" s="15">
        <v>0.0</v>
      </c>
      <c r="V572" s="12" t="s">
        <v>520</v>
      </c>
    </row>
    <row r="573" ht="22.5" customHeight="1">
      <c r="A573" s="11">
        <v>46303.76635935185</v>
      </c>
      <c r="H573" s="12">
        <v>3.0</v>
      </c>
      <c r="I573" s="12">
        <v>3.0</v>
      </c>
      <c r="J573" s="12">
        <v>4.0</v>
      </c>
      <c r="K573" s="12">
        <v>3.0</v>
      </c>
      <c r="L573" s="12">
        <v>3.0</v>
      </c>
      <c r="M573" s="12">
        <v>3.0</v>
      </c>
      <c r="N573" s="12">
        <v>3.0</v>
      </c>
      <c r="O573" s="12">
        <v>3.0</v>
      </c>
      <c r="P573" s="12">
        <v>5.0</v>
      </c>
      <c r="T573" s="15">
        <v>0.0</v>
      </c>
      <c r="V573" s="12" t="s">
        <v>521</v>
      </c>
    </row>
    <row r="574" ht="22.5" customHeight="1">
      <c r="A574" s="11">
        <v>46303.77220481481</v>
      </c>
      <c r="H574" s="12">
        <v>5.0</v>
      </c>
      <c r="I574" s="12">
        <v>4.0</v>
      </c>
      <c r="J574" s="12">
        <v>4.0</v>
      </c>
      <c r="K574" s="12">
        <v>4.0</v>
      </c>
      <c r="L574" s="12">
        <v>5.0</v>
      </c>
      <c r="M574" s="12">
        <v>4.0</v>
      </c>
      <c r="N574" s="12">
        <v>3.0</v>
      </c>
      <c r="O574" s="12">
        <v>4.0</v>
      </c>
      <c r="P574" s="12">
        <v>7.0</v>
      </c>
      <c r="R574" s="12" t="s">
        <v>44</v>
      </c>
      <c r="T574" s="15">
        <v>0.0</v>
      </c>
      <c r="V574" s="12" t="s">
        <v>522</v>
      </c>
    </row>
    <row r="575" ht="22.5" customHeight="1">
      <c r="A575" s="11">
        <v>46303.78371482639</v>
      </c>
      <c r="H575" s="12">
        <v>5.0</v>
      </c>
      <c r="I575" s="12">
        <v>5.0</v>
      </c>
      <c r="J575" s="12">
        <v>5.0</v>
      </c>
      <c r="K575" s="12">
        <v>5.0</v>
      </c>
      <c r="L575" s="12">
        <v>4.0</v>
      </c>
      <c r="M575" s="12">
        <v>4.0</v>
      </c>
      <c r="N575" s="12">
        <v>4.0</v>
      </c>
      <c r="O575" s="12">
        <v>4.0</v>
      </c>
      <c r="P575" s="12">
        <v>9.0</v>
      </c>
      <c r="T575" s="15">
        <v>0.0</v>
      </c>
      <c r="V575" s="12" t="s">
        <v>523</v>
      </c>
    </row>
    <row r="576" ht="22.5" customHeight="1">
      <c r="A576" s="11">
        <v>46303.790086863424</v>
      </c>
      <c r="H576" s="12">
        <v>3.0</v>
      </c>
      <c r="I576" s="12">
        <v>3.0</v>
      </c>
      <c r="J576" s="12">
        <v>3.0</v>
      </c>
      <c r="K576" s="12">
        <v>3.0</v>
      </c>
      <c r="L576" s="12">
        <v>3.0</v>
      </c>
      <c r="M576" s="12">
        <v>3.0</v>
      </c>
      <c r="N576" s="12">
        <v>3.0</v>
      </c>
      <c r="O576" s="12">
        <v>3.0</v>
      </c>
      <c r="P576" s="12">
        <v>10.0</v>
      </c>
      <c r="T576" s="15">
        <v>0.0</v>
      </c>
      <c r="U576" s="12">
        <v>3.0</v>
      </c>
      <c r="V576" s="12" t="s">
        <v>524</v>
      </c>
    </row>
    <row r="577" ht="22.5" customHeight="1">
      <c r="A577" s="11">
        <v>46303.80012696759</v>
      </c>
      <c r="H577" s="12">
        <v>4.0</v>
      </c>
      <c r="I577" s="12">
        <v>4.0</v>
      </c>
      <c r="J577" s="12">
        <v>4.0</v>
      </c>
      <c r="K577" s="12">
        <v>4.0</v>
      </c>
      <c r="L577" s="12">
        <v>4.0</v>
      </c>
      <c r="M577" s="12">
        <v>4.0</v>
      </c>
      <c r="N577" s="12">
        <v>4.0</v>
      </c>
      <c r="O577" s="12">
        <v>5.0</v>
      </c>
      <c r="P577" s="12">
        <v>9.0</v>
      </c>
      <c r="Q577" s="12" t="s">
        <v>525</v>
      </c>
      <c r="R577" s="12" t="s">
        <v>526</v>
      </c>
      <c r="T577" s="15">
        <v>0.0</v>
      </c>
      <c r="U577" s="12">
        <v>5.0</v>
      </c>
      <c r="V577" s="12" t="s">
        <v>527</v>
      </c>
    </row>
    <row r="578" ht="22.5" customHeight="1">
      <c r="A578" s="11">
        <v>46303.80609010417</v>
      </c>
      <c r="H578" s="12">
        <v>4.0</v>
      </c>
      <c r="I578" s="12">
        <v>3.0</v>
      </c>
      <c r="J578" s="12">
        <v>4.0</v>
      </c>
      <c r="K578" s="12">
        <v>3.0</v>
      </c>
      <c r="L578" s="12">
        <v>3.0</v>
      </c>
      <c r="M578" s="12">
        <v>3.0</v>
      </c>
      <c r="N578" s="12">
        <v>3.0</v>
      </c>
      <c r="O578" s="12">
        <v>3.0</v>
      </c>
      <c r="P578" s="12">
        <v>6.0</v>
      </c>
      <c r="Q578" s="12" t="s">
        <v>38</v>
      </c>
      <c r="R578" s="12" t="s">
        <v>38</v>
      </c>
      <c r="T578" s="15">
        <v>0.0</v>
      </c>
      <c r="U578" s="12">
        <v>5.0</v>
      </c>
      <c r="V578" s="12" t="s">
        <v>528</v>
      </c>
    </row>
    <row r="579" ht="22.5" customHeight="1">
      <c r="A579" s="11">
        <v>46303.82327129629</v>
      </c>
      <c r="H579" s="12">
        <v>4.0</v>
      </c>
      <c r="I579" s="12">
        <v>4.0</v>
      </c>
      <c r="J579" s="12">
        <v>4.0</v>
      </c>
      <c r="K579" s="12">
        <v>4.0</v>
      </c>
      <c r="L579" s="12">
        <v>4.0</v>
      </c>
      <c r="M579" s="12">
        <v>4.0</v>
      </c>
      <c r="N579" s="12">
        <v>4.0</v>
      </c>
      <c r="O579" s="12">
        <v>4.0</v>
      </c>
      <c r="P579" s="12">
        <v>9.0</v>
      </c>
      <c r="Q579" s="12" t="s">
        <v>529</v>
      </c>
      <c r="R579" s="12" t="s">
        <v>530</v>
      </c>
      <c r="T579" s="15">
        <v>0.0</v>
      </c>
      <c r="U579" s="12">
        <v>4.0</v>
      </c>
      <c r="V579" s="12" t="s">
        <v>531</v>
      </c>
    </row>
    <row r="580" ht="22.5" customHeight="1">
      <c r="A580" s="11">
        <v>46303.82386318287</v>
      </c>
      <c r="H580" s="12">
        <v>5.0</v>
      </c>
      <c r="I580" s="12">
        <v>5.0</v>
      </c>
      <c r="J580" s="12">
        <v>5.0</v>
      </c>
      <c r="K580" s="12">
        <v>5.0</v>
      </c>
      <c r="L580" s="12">
        <v>5.0</v>
      </c>
      <c r="M580" s="12">
        <v>5.0</v>
      </c>
      <c r="N580" s="12">
        <v>5.0</v>
      </c>
      <c r="O580" s="12">
        <v>5.0</v>
      </c>
      <c r="P580" s="12">
        <v>10.0</v>
      </c>
      <c r="Q580" s="12" t="s">
        <v>79</v>
      </c>
      <c r="R580" s="12" t="s">
        <v>532</v>
      </c>
      <c r="T580" s="15">
        <v>0.0</v>
      </c>
      <c r="U580" s="12">
        <v>5.0</v>
      </c>
      <c r="V580" s="12" t="s">
        <v>533</v>
      </c>
    </row>
    <row r="581" ht="22.5" customHeight="1">
      <c r="A581" s="11">
        <v>46303.829662881944</v>
      </c>
      <c r="H581" s="12">
        <v>5.0</v>
      </c>
      <c r="I581" s="12">
        <v>5.0</v>
      </c>
      <c r="J581" s="12">
        <v>4.0</v>
      </c>
      <c r="K581" s="12">
        <v>5.0</v>
      </c>
      <c r="L581" s="12">
        <v>4.0</v>
      </c>
      <c r="M581" s="12">
        <v>4.0</v>
      </c>
      <c r="O581" s="12">
        <v>4.0</v>
      </c>
      <c r="P581" s="12">
        <v>8.0</v>
      </c>
      <c r="Q581" s="12" t="s">
        <v>405</v>
      </c>
      <c r="R581" s="12" t="s">
        <v>37</v>
      </c>
      <c r="T581" s="15">
        <v>0.0</v>
      </c>
      <c r="U581" s="12">
        <v>4.0</v>
      </c>
      <c r="V581" s="12" t="s">
        <v>534</v>
      </c>
    </row>
    <row r="582" ht="22.5" customHeight="1">
      <c r="A582" s="11">
        <v>46303.84296094907</v>
      </c>
      <c r="H582" s="12">
        <v>5.0</v>
      </c>
      <c r="I582" s="12">
        <v>5.0</v>
      </c>
      <c r="J582" s="12">
        <v>5.0</v>
      </c>
      <c r="K582" s="12">
        <v>5.0</v>
      </c>
      <c r="L582" s="12">
        <v>5.0</v>
      </c>
      <c r="M582" s="12">
        <v>5.0</v>
      </c>
      <c r="N582" s="12">
        <v>5.0</v>
      </c>
      <c r="O582" s="12">
        <v>5.0</v>
      </c>
      <c r="P582" s="12">
        <v>8.0</v>
      </c>
      <c r="T582" s="15">
        <v>0.0</v>
      </c>
      <c r="V582" s="12" t="s">
        <v>535</v>
      </c>
    </row>
    <row r="583" ht="22.5" customHeight="1">
      <c r="A583" s="11">
        <v>46303.857174363424</v>
      </c>
      <c r="H583" s="12">
        <v>4.0</v>
      </c>
      <c r="I583" s="12">
        <v>4.0</v>
      </c>
      <c r="J583" s="12">
        <v>5.0</v>
      </c>
      <c r="K583" s="12">
        <v>5.0</v>
      </c>
      <c r="L583" s="12">
        <v>5.0</v>
      </c>
      <c r="M583" s="12">
        <v>5.0</v>
      </c>
      <c r="N583" s="12">
        <v>5.0</v>
      </c>
      <c r="O583" s="12">
        <v>5.0</v>
      </c>
      <c r="P583" s="12">
        <v>10.0</v>
      </c>
      <c r="T583" s="15">
        <v>0.0</v>
      </c>
      <c r="V583" s="12" t="s">
        <v>536</v>
      </c>
    </row>
    <row r="584" ht="22.5" customHeight="1">
      <c r="A584" s="11">
        <v>46303.857606736114</v>
      </c>
      <c r="H584" s="12">
        <v>5.0</v>
      </c>
      <c r="I584" s="12">
        <v>5.0</v>
      </c>
      <c r="J584" s="12">
        <v>5.0</v>
      </c>
      <c r="L584" s="12">
        <v>5.0</v>
      </c>
      <c r="M584" s="12">
        <v>5.0</v>
      </c>
      <c r="N584" s="12">
        <v>5.0</v>
      </c>
      <c r="O584" s="12">
        <v>5.0</v>
      </c>
      <c r="P584" s="12">
        <v>10.0</v>
      </c>
      <c r="T584" s="15">
        <v>0.0</v>
      </c>
      <c r="V584" s="12" t="s">
        <v>537</v>
      </c>
    </row>
    <row r="585" ht="22.5" customHeight="1">
      <c r="A585" s="11">
        <v>46303.85795506944</v>
      </c>
      <c r="H585" s="12">
        <v>5.0</v>
      </c>
      <c r="I585" s="12">
        <v>5.0</v>
      </c>
      <c r="J585" s="12">
        <v>5.0</v>
      </c>
      <c r="K585" s="12">
        <v>5.0</v>
      </c>
      <c r="L585" s="12">
        <v>5.0</v>
      </c>
      <c r="M585" s="12">
        <v>5.0</v>
      </c>
      <c r="N585" s="12">
        <v>5.0</v>
      </c>
      <c r="O585" s="12">
        <v>5.0</v>
      </c>
      <c r="P585" s="12">
        <v>8.0</v>
      </c>
      <c r="T585" s="15">
        <v>0.0</v>
      </c>
      <c r="U585" s="12">
        <v>5.0</v>
      </c>
      <c r="V585" s="12" t="s">
        <v>460</v>
      </c>
    </row>
    <row r="586" ht="22.5" customHeight="1">
      <c r="A586" s="11">
        <v>46303.86315599537</v>
      </c>
      <c r="H586" s="12">
        <v>3.0</v>
      </c>
      <c r="I586" s="12">
        <v>1.0</v>
      </c>
      <c r="J586" s="12">
        <v>1.0</v>
      </c>
      <c r="K586" s="12">
        <v>1.0</v>
      </c>
      <c r="L586" s="12">
        <v>1.0</v>
      </c>
      <c r="M586" s="12">
        <v>1.0</v>
      </c>
      <c r="N586" s="12">
        <v>1.0</v>
      </c>
      <c r="O586" s="12">
        <v>1.0</v>
      </c>
      <c r="P586" s="12">
        <v>1.0</v>
      </c>
      <c r="T586" s="15">
        <v>0.0</v>
      </c>
      <c r="U586" s="12">
        <v>3.0</v>
      </c>
      <c r="V586" s="12" t="s">
        <v>538</v>
      </c>
    </row>
    <row r="587" ht="22.5" customHeight="1">
      <c r="A587" s="11">
        <v>46303.8640329051</v>
      </c>
      <c r="H587" s="12">
        <v>4.0</v>
      </c>
      <c r="I587" s="12">
        <v>4.0</v>
      </c>
      <c r="J587" s="12">
        <v>4.0</v>
      </c>
      <c r="K587" s="12">
        <v>4.0</v>
      </c>
      <c r="L587" s="12">
        <v>4.0</v>
      </c>
      <c r="M587" s="12">
        <v>5.0</v>
      </c>
      <c r="N587" s="12">
        <v>4.0</v>
      </c>
      <c r="P587" s="12">
        <v>10.0</v>
      </c>
      <c r="Q587" s="12" t="s">
        <v>539</v>
      </c>
      <c r="R587" s="12" t="s">
        <v>540</v>
      </c>
      <c r="T587" s="15">
        <v>0.0</v>
      </c>
      <c r="U587" s="12">
        <v>3.0</v>
      </c>
      <c r="V587" s="12" t="s">
        <v>541</v>
      </c>
    </row>
    <row r="588" ht="22.5" customHeight="1">
      <c r="A588" s="11">
        <v>46303.86598084491</v>
      </c>
      <c r="H588" s="12">
        <v>5.0</v>
      </c>
      <c r="I588" s="12">
        <v>5.0</v>
      </c>
      <c r="J588" s="12">
        <v>5.0</v>
      </c>
      <c r="K588" s="12">
        <v>5.0</v>
      </c>
      <c r="M588" s="12">
        <v>5.0</v>
      </c>
      <c r="N588" s="12">
        <v>5.0</v>
      </c>
      <c r="O588" s="12">
        <v>5.0</v>
      </c>
      <c r="P588" s="12">
        <v>10.0</v>
      </c>
      <c r="Q588" s="12" t="s">
        <v>542</v>
      </c>
      <c r="R588" s="12" t="s">
        <v>543</v>
      </c>
      <c r="T588" s="15">
        <v>0.0</v>
      </c>
      <c r="U588" s="12">
        <v>5.0</v>
      </c>
      <c r="V588" s="12" t="s">
        <v>541</v>
      </c>
    </row>
    <row r="589" ht="22.5" customHeight="1">
      <c r="A589" s="11">
        <v>46303.86736537037</v>
      </c>
      <c r="H589" s="12">
        <v>5.0</v>
      </c>
      <c r="I589" s="12">
        <v>5.0</v>
      </c>
      <c r="J589" s="12">
        <v>5.0</v>
      </c>
      <c r="K589" s="12">
        <v>5.0</v>
      </c>
      <c r="L589" s="12">
        <v>5.0</v>
      </c>
      <c r="M589" s="12">
        <v>5.0</v>
      </c>
      <c r="N589" s="12">
        <v>5.0</v>
      </c>
      <c r="O589" s="12">
        <v>5.0</v>
      </c>
      <c r="P589" s="12">
        <v>10.0</v>
      </c>
      <c r="T589" s="15">
        <v>0.0</v>
      </c>
      <c r="U589" s="12">
        <v>5.0</v>
      </c>
      <c r="V589" s="12" t="s">
        <v>544</v>
      </c>
    </row>
    <row r="590" ht="22.5" customHeight="1">
      <c r="A590" s="11">
        <v>46303.86737034722</v>
      </c>
      <c r="H590" s="12">
        <v>3.0</v>
      </c>
      <c r="I590" s="12">
        <v>2.0</v>
      </c>
      <c r="J590" s="12">
        <v>2.0</v>
      </c>
      <c r="K590" s="12">
        <v>2.0</v>
      </c>
      <c r="L590" s="12">
        <v>3.0</v>
      </c>
      <c r="M590" s="12">
        <v>3.0</v>
      </c>
      <c r="N590" s="12">
        <v>2.0</v>
      </c>
      <c r="O590" s="12">
        <v>2.0</v>
      </c>
      <c r="P590" s="12">
        <v>5.0</v>
      </c>
      <c r="T590" s="15">
        <v>0.0</v>
      </c>
      <c r="U590" s="12">
        <v>3.0</v>
      </c>
      <c r="V590" s="12" t="s">
        <v>545</v>
      </c>
    </row>
    <row r="591" ht="22.5" customHeight="1">
      <c r="A591" s="11">
        <v>46303.87023681713</v>
      </c>
      <c r="H591" s="12">
        <v>3.0</v>
      </c>
      <c r="I591" s="12">
        <v>4.0</v>
      </c>
      <c r="J591" s="12">
        <v>4.0</v>
      </c>
      <c r="K591" s="12">
        <v>3.0</v>
      </c>
      <c r="L591" s="12">
        <v>3.0</v>
      </c>
      <c r="M591" s="12">
        <v>3.0</v>
      </c>
      <c r="N591" s="12">
        <v>3.0</v>
      </c>
      <c r="O591" s="12">
        <v>3.0</v>
      </c>
      <c r="P591" s="12">
        <v>5.0</v>
      </c>
      <c r="Q591" s="12" t="s">
        <v>38</v>
      </c>
      <c r="T591" s="15">
        <v>0.0</v>
      </c>
      <c r="U591" s="12">
        <v>3.0</v>
      </c>
      <c r="V591" s="12" t="s">
        <v>546</v>
      </c>
    </row>
    <row r="592" ht="22.5" customHeight="1">
      <c r="A592" s="11">
        <v>46303.872203680556</v>
      </c>
      <c r="H592" s="12">
        <v>3.0</v>
      </c>
      <c r="I592" s="12">
        <v>4.0</v>
      </c>
      <c r="J592" s="12">
        <v>4.0</v>
      </c>
      <c r="K592" s="12">
        <v>3.0</v>
      </c>
      <c r="L592" s="12">
        <v>3.0</v>
      </c>
      <c r="M592" s="12">
        <v>4.0</v>
      </c>
      <c r="N592" s="12">
        <v>5.0</v>
      </c>
      <c r="O592" s="12">
        <v>4.0</v>
      </c>
      <c r="P592" s="12">
        <v>7.0</v>
      </c>
      <c r="Q592" s="12" t="s">
        <v>547</v>
      </c>
      <c r="R592" s="12" t="s">
        <v>548</v>
      </c>
      <c r="T592" s="15">
        <v>0.0</v>
      </c>
      <c r="U592" s="12">
        <v>3.0</v>
      </c>
      <c r="V592" s="12" t="s">
        <v>549</v>
      </c>
    </row>
    <row r="593" ht="22.5" customHeight="1">
      <c r="A593" s="11">
        <v>46303.87293293982</v>
      </c>
      <c r="H593" s="12">
        <v>4.0</v>
      </c>
      <c r="I593" s="12">
        <v>5.0</v>
      </c>
      <c r="J593" s="12">
        <v>3.0</v>
      </c>
      <c r="K593" s="12">
        <v>4.0</v>
      </c>
      <c r="L593" s="12">
        <v>3.0</v>
      </c>
      <c r="M593" s="12">
        <v>3.0</v>
      </c>
      <c r="N593" s="12">
        <v>3.0</v>
      </c>
      <c r="O593" s="12">
        <v>5.0</v>
      </c>
      <c r="P593" s="12">
        <v>9.0</v>
      </c>
      <c r="Q593" s="12" t="s">
        <v>388</v>
      </c>
      <c r="R593" s="12" t="s">
        <v>550</v>
      </c>
      <c r="T593" s="15">
        <v>0.0</v>
      </c>
      <c r="U593" s="12">
        <v>4.0</v>
      </c>
      <c r="V593" s="12" t="s">
        <v>551</v>
      </c>
    </row>
    <row r="594" ht="22.5" customHeight="1">
      <c r="A594" s="11">
        <v>46303.872980416665</v>
      </c>
      <c r="H594" s="12">
        <v>2.0</v>
      </c>
      <c r="I594" s="12">
        <v>4.0</v>
      </c>
      <c r="J594" s="12">
        <v>3.0</v>
      </c>
      <c r="K594" s="12">
        <v>3.0</v>
      </c>
      <c r="L594" s="12">
        <v>3.0</v>
      </c>
      <c r="M594" s="12">
        <v>3.0</v>
      </c>
      <c r="N594" s="12">
        <v>1.0</v>
      </c>
      <c r="O594" s="12">
        <v>2.0</v>
      </c>
      <c r="P594" s="12">
        <v>4.0</v>
      </c>
      <c r="Q594" s="12" t="s">
        <v>79</v>
      </c>
      <c r="R594" s="12" t="s">
        <v>552</v>
      </c>
      <c r="T594" s="15">
        <v>0.0</v>
      </c>
      <c r="U594" s="12">
        <v>3.0</v>
      </c>
      <c r="V594" s="12" t="s">
        <v>553</v>
      </c>
    </row>
    <row r="595" ht="22.5" customHeight="1">
      <c r="A595" s="11">
        <v>46303.87361040509</v>
      </c>
      <c r="H595" s="12">
        <v>4.0</v>
      </c>
      <c r="I595" s="12">
        <v>4.0</v>
      </c>
      <c r="J595" s="12">
        <v>5.0</v>
      </c>
      <c r="K595" s="12">
        <v>4.0</v>
      </c>
      <c r="L595" s="12">
        <v>4.0</v>
      </c>
      <c r="M595" s="12">
        <v>5.0</v>
      </c>
      <c r="N595" s="12">
        <v>5.0</v>
      </c>
      <c r="O595" s="12">
        <v>5.0</v>
      </c>
      <c r="P595" s="12">
        <v>8.0</v>
      </c>
      <c r="Q595" s="12" t="s">
        <v>554</v>
      </c>
      <c r="R595" s="12" t="s">
        <v>555</v>
      </c>
      <c r="T595" s="15">
        <v>0.0</v>
      </c>
      <c r="U595" s="12">
        <v>3.0</v>
      </c>
      <c r="V595" s="12" t="s">
        <v>556</v>
      </c>
    </row>
    <row r="596" ht="22.5" customHeight="1">
      <c r="A596" s="11">
        <v>46303.87488826389</v>
      </c>
      <c r="H596" s="12">
        <v>2.0</v>
      </c>
      <c r="I596" s="12">
        <v>4.0</v>
      </c>
      <c r="J596" s="12">
        <v>3.0</v>
      </c>
      <c r="K596" s="12">
        <v>3.0</v>
      </c>
      <c r="L596" s="12">
        <v>3.0</v>
      </c>
      <c r="M596" s="12">
        <v>3.0</v>
      </c>
      <c r="N596" s="12">
        <v>4.0</v>
      </c>
      <c r="O596" s="12">
        <v>3.0</v>
      </c>
      <c r="P596" s="12">
        <v>6.0</v>
      </c>
      <c r="Q596" s="12" t="s">
        <v>557</v>
      </c>
      <c r="T596" s="15">
        <v>0.0</v>
      </c>
      <c r="U596" s="12">
        <v>5.0</v>
      </c>
      <c r="V596" s="12" t="s">
        <v>558</v>
      </c>
    </row>
    <row r="597" ht="22.5" customHeight="1">
      <c r="A597" s="11">
        <v>46303.87500975694</v>
      </c>
      <c r="H597" s="12">
        <v>4.0</v>
      </c>
      <c r="I597" s="12">
        <v>5.0</v>
      </c>
      <c r="J597" s="12">
        <v>5.0</v>
      </c>
      <c r="K597" s="12">
        <v>5.0</v>
      </c>
      <c r="L597" s="12">
        <v>5.0</v>
      </c>
      <c r="M597" s="12">
        <v>5.0</v>
      </c>
      <c r="N597" s="12">
        <v>5.0</v>
      </c>
      <c r="O597" s="12">
        <v>5.0</v>
      </c>
      <c r="P597" s="12">
        <v>10.0</v>
      </c>
      <c r="T597" s="15">
        <v>0.0</v>
      </c>
      <c r="U597" s="12">
        <v>1.0</v>
      </c>
      <c r="V597" s="12" t="s">
        <v>559</v>
      </c>
    </row>
    <row r="598" ht="22.5" customHeight="1">
      <c r="A598" s="11">
        <v>46303.87582616898</v>
      </c>
      <c r="H598" s="12">
        <v>2.0</v>
      </c>
      <c r="I598" s="12">
        <v>3.0</v>
      </c>
      <c r="J598" s="12">
        <v>4.0</v>
      </c>
      <c r="K598" s="12">
        <v>3.0</v>
      </c>
      <c r="L598" s="12">
        <v>4.0</v>
      </c>
      <c r="M598" s="12">
        <v>4.0</v>
      </c>
      <c r="N598" s="12">
        <v>4.0</v>
      </c>
      <c r="O598" s="12">
        <v>3.0</v>
      </c>
      <c r="P598" s="12">
        <v>6.0</v>
      </c>
      <c r="T598" s="15">
        <v>0.0</v>
      </c>
      <c r="U598" s="12">
        <v>5.0</v>
      </c>
      <c r="V598" s="12" t="s">
        <v>558</v>
      </c>
    </row>
    <row r="599" ht="22.5" customHeight="1">
      <c r="A599" s="11">
        <v>46303.876182141204</v>
      </c>
      <c r="H599" s="12">
        <v>5.0</v>
      </c>
      <c r="I599" s="12">
        <v>5.0</v>
      </c>
      <c r="J599" s="12">
        <v>5.0</v>
      </c>
      <c r="K599" s="12">
        <v>5.0</v>
      </c>
      <c r="L599" s="12">
        <v>5.0</v>
      </c>
      <c r="M599" s="12">
        <v>5.0</v>
      </c>
      <c r="N599" s="12">
        <v>5.0</v>
      </c>
      <c r="O599" s="12">
        <v>5.0</v>
      </c>
      <c r="P599" s="12">
        <v>10.0</v>
      </c>
      <c r="Q599" s="12" t="s">
        <v>560</v>
      </c>
      <c r="R599" s="12" t="s">
        <v>561</v>
      </c>
      <c r="T599" s="15">
        <v>0.0</v>
      </c>
      <c r="U599" s="12">
        <v>1.0</v>
      </c>
      <c r="V599" s="12" t="s">
        <v>559</v>
      </c>
    </row>
    <row r="600" ht="22.5" customHeight="1">
      <c r="A600" s="11">
        <v>46303.877824317125</v>
      </c>
      <c r="H600" s="12">
        <v>5.0</v>
      </c>
      <c r="I600" s="12">
        <v>5.0</v>
      </c>
      <c r="J600" s="12">
        <v>5.0</v>
      </c>
      <c r="K600" s="12">
        <v>5.0</v>
      </c>
      <c r="L600" s="12">
        <v>5.0</v>
      </c>
      <c r="M600" s="12">
        <v>5.0</v>
      </c>
      <c r="N600" s="12">
        <v>5.0</v>
      </c>
      <c r="O600" s="12">
        <v>5.0</v>
      </c>
      <c r="P600" s="12">
        <v>10.0</v>
      </c>
      <c r="Q600" s="12" t="s">
        <v>174</v>
      </c>
      <c r="R600" s="12" t="s">
        <v>562</v>
      </c>
      <c r="T600" s="15">
        <v>0.0</v>
      </c>
      <c r="U600" s="12">
        <v>1.0</v>
      </c>
      <c r="V600" s="12" t="s">
        <v>563</v>
      </c>
    </row>
    <row r="601" ht="22.5" customHeight="1">
      <c r="A601" s="11">
        <v>46303.880643055556</v>
      </c>
      <c r="H601" s="12">
        <v>4.0</v>
      </c>
      <c r="I601" s="12">
        <v>4.0</v>
      </c>
      <c r="J601" s="12">
        <v>3.0</v>
      </c>
      <c r="K601" s="12">
        <v>4.0</v>
      </c>
      <c r="L601" s="12">
        <v>4.0</v>
      </c>
      <c r="M601" s="12">
        <v>4.0</v>
      </c>
      <c r="N601" s="12">
        <v>4.0</v>
      </c>
      <c r="O601" s="12">
        <v>4.0</v>
      </c>
      <c r="P601" s="12">
        <v>5.0</v>
      </c>
      <c r="T601" s="15">
        <v>0.0</v>
      </c>
      <c r="U601" s="12">
        <v>1.0</v>
      </c>
      <c r="V601" s="12" t="s">
        <v>564</v>
      </c>
    </row>
    <row r="602" ht="22.5" customHeight="1">
      <c r="A602" s="11">
        <v>46303.88128753472</v>
      </c>
      <c r="H602" s="12">
        <v>3.0</v>
      </c>
      <c r="I602" s="12">
        <v>4.0</v>
      </c>
      <c r="J602" s="12">
        <v>5.0</v>
      </c>
      <c r="K602" s="12">
        <v>3.0</v>
      </c>
      <c r="L602" s="12">
        <v>5.0</v>
      </c>
      <c r="M602" s="12">
        <v>3.0</v>
      </c>
      <c r="N602" s="12">
        <v>2.0</v>
      </c>
      <c r="O602" s="12">
        <v>4.0</v>
      </c>
      <c r="P602" s="12">
        <v>7.0</v>
      </c>
      <c r="Q602" s="12" t="s">
        <v>174</v>
      </c>
      <c r="R602" s="12" t="s">
        <v>565</v>
      </c>
      <c r="T602" s="15">
        <v>0.0</v>
      </c>
      <c r="V602" s="12" t="s">
        <v>566</v>
      </c>
    </row>
    <row r="603" ht="22.5" customHeight="1">
      <c r="A603" s="11">
        <v>46303.882616319446</v>
      </c>
      <c r="H603" s="12">
        <v>4.0</v>
      </c>
      <c r="I603" s="12">
        <v>3.0</v>
      </c>
      <c r="J603" s="12">
        <v>3.0</v>
      </c>
      <c r="K603" s="12">
        <v>4.0</v>
      </c>
      <c r="L603" s="12">
        <v>3.0</v>
      </c>
      <c r="M603" s="12">
        <v>3.0</v>
      </c>
      <c r="N603" s="12">
        <v>4.0</v>
      </c>
      <c r="O603" s="12">
        <v>5.0</v>
      </c>
      <c r="P603" s="12">
        <v>8.0</v>
      </c>
      <c r="Q603" s="12" t="s">
        <v>567</v>
      </c>
      <c r="R603" s="12" t="s">
        <v>568</v>
      </c>
      <c r="T603" s="15">
        <v>0.0</v>
      </c>
      <c r="U603" s="12">
        <v>3.0</v>
      </c>
      <c r="V603" s="12" t="s">
        <v>569</v>
      </c>
    </row>
    <row r="604" ht="22.5" customHeight="1">
      <c r="A604" s="11">
        <v>46303.882947418984</v>
      </c>
      <c r="H604" s="12">
        <v>1.0</v>
      </c>
      <c r="I604" s="12">
        <v>1.0</v>
      </c>
      <c r="J604" s="12">
        <v>1.0</v>
      </c>
      <c r="K604" s="12">
        <v>1.0</v>
      </c>
      <c r="L604" s="12">
        <v>1.0</v>
      </c>
      <c r="M604" s="12">
        <v>1.0</v>
      </c>
      <c r="N604" s="12">
        <v>1.0</v>
      </c>
      <c r="O604" s="12">
        <v>1.0</v>
      </c>
      <c r="P604" s="12">
        <v>1.0</v>
      </c>
      <c r="Q604" s="12" t="s">
        <v>79</v>
      </c>
      <c r="R604" s="12" t="s">
        <v>570</v>
      </c>
      <c r="T604" s="15">
        <v>0.0</v>
      </c>
      <c r="U604" s="12">
        <v>1.0</v>
      </c>
      <c r="V604" s="12" t="s">
        <v>571</v>
      </c>
    </row>
    <row r="605" ht="22.5" customHeight="1">
      <c r="A605" s="11">
        <v>46303.8833975</v>
      </c>
      <c r="H605" s="12">
        <v>4.0</v>
      </c>
      <c r="I605" s="12">
        <v>4.0</v>
      </c>
      <c r="J605" s="12">
        <v>4.0</v>
      </c>
      <c r="K605" s="12">
        <v>4.0</v>
      </c>
      <c r="L605" s="12">
        <v>5.0</v>
      </c>
      <c r="M605" s="12">
        <v>4.0</v>
      </c>
      <c r="N605" s="12">
        <v>4.0</v>
      </c>
      <c r="O605" s="12">
        <v>4.0</v>
      </c>
      <c r="P605" s="12">
        <v>9.0</v>
      </c>
      <c r="T605" s="15">
        <v>0.0</v>
      </c>
      <c r="V605" s="12" t="s">
        <v>572</v>
      </c>
    </row>
    <row r="606" ht="22.5" customHeight="1">
      <c r="A606" s="11">
        <v>46303.88485170139</v>
      </c>
      <c r="H606" s="12">
        <v>5.0</v>
      </c>
      <c r="I606" s="12">
        <v>5.0</v>
      </c>
      <c r="J606" s="12">
        <v>5.0</v>
      </c>
      <c r="K606" s="12">
        <v>5.0</v>
      </c>
      <c r="L606" s="12">
        <v>5.0</v>
      </c>
      <c r="M606" s="12">
        <v>5.0</v>
      </c>
      <c r="N606" s="12">
        <v>5.0</v>
      </c>
      <c r="O606" s="12">
        <v>5.0</v>
      </c>
      <c r="P606" s="12">
        <v>10.0</v>
      </c>
      <c r="Q606" s="12" t="s">
        <v>79</v>
      </c>
      <c r="R606" s="12" t="s">
        <v>570</v>
      </c>
      <c r="T606" s="15">
        <v>0.0</v>
      </c>
      <c r="U606" s="12">
        <v>5.0</v>
      </c>
      <c r="V606" s="12" t="s">
        <v>571</v>
      </c>
    </row>
    <row r="607" ht="22.5" customHeight="1">
      <c r="A607" s="11">
        <v>46303.885204328704</v>
      </c>
      <c r="H607" s="12">
        <v>3.0</v>
      </c>
      <c r="I607" s="12">
        <v>4.0</v>
      </c>
      <c r="J607" s="12">
        <v>3.0</v>
      </c>
      <c r="K607" s="12">
        <v>5.0</v>
      </c>
      <c r="L607" s="12">
        <v>5.0</v>
      </c>
      <c r="M607" s="12">
        <v>5.0</v>
      </c>
      <c r="O607" s="12">
        <v>5.0</v>
      </c>
      <c r="P607" s="12">
        <v>10.0</v>
      </c>
      <c r="Q607" s="12" t="s">
        <v>573</v>
      </c>
      <c r="R607" s="12" t="s">
        <v>574</v>
      </c>
      <c r="T607" s="15">
        <v>0.0</v>
      </c>
      <c r="U607" s="12">
        <v>3.0</v>
      </c>
      <c r="V607" s="12" t="s">
        <v>575</v>
      </c>
    </row>
    <row r="608" ht="22.5" customHeight="1">
      <c r="A608" s="11">
        <v>46303.88538886574</v>
      </c>
      <c r="H608" s="12">
        <v>1.0</v>
      </c>
      <c r="I608" s="12">
        <v>1.0</v>
      </c>
      <c r="J608" s="12">
        <v>1.0</v>
      </c>
      <c r="K608" s="12">
        <v>1.0</v>
      </c>
      <c r="L608" s="12">
        <v>1.0</v>
      </c>
      <c r="M608" s="12">
        <v>1.0</v>
      </c>
      <c r="N608" s="12">
        <v>1.0</v>
      </c>
      <c r="O608" s="12">
        <v>1.0</v>
      </c>
      <c r="P608" s="12">
        <v>1.0</v>
      </c>
      <c r="Q608" s="12" t="s">
        <v>44</v>
      </c>
      <c r="R608" s="12" t="s">
        <v>44</v>
      </c>
      <c r="T608" s="15">
        <v>0.0</v>
      </c>
      <c r="U608" s="12">
        <v>1.0</v>
      </c>
      <c r="V608" s="12" t="s">
        <v>576</v>
      </c>
    </row>
    <row r="609" ht="22.5" customHeight="1">
      <c r="A609" s="11">
        <v>46303.886269097224</v>
      </c>
      <c r="H609" s="12">
        <v>5.0</v>
      </c>
      <c r="I609" s="12">
        <v>5.0</v>
      </c>
      <c r="J609" s="12">
        <v>5.0</v>
      </c>
      <c r="K609" s="12">
        <v>5.0</v>
      </c>
      <c r="L609" s="12">
        <v>5.0</v>
      </c>
      <c r="M609" s="12">
        <v>5.0</v>
      </c>
      <c r="N609" s="12">
        <v>5.0</v>
      </c>
      <c r="O609" s="12">
        <v>5.0</v>
      </c>
      <c r="P609" s="12">
        <v>10.0</v>
      </c>
      <c r="T609" s="15">
        <v>0.0</v>
      </c>
      <c r="U609" s="12">
        <v>5.0</v>
      </c>
      <c r="V609" s="12" t="s">
        <v>577</v>
      </c>
    </row>
    <row r="610" ht="22.5" customHeight="1">
      <c r="A610" s="11">
        <v>46303.88683469908</v>
      </c>
      <c r="H610" s="12">
        <v>4.0</v>
      </c>
      <c r="I610" s="12">
        <v>4.0</v>
      </c>
      <c r="J610" s="12">
        <v>5.0</v>
      </c>
      <c r="K610" s="12">
        <v>4.0</v>
      </c>
      <c r="L610" s="12">
        <v>5.0</v>
      </c>
      <c r="M610" s="12">
        <v>4.0</v>
      </c>
      <c r="N610" s="12">
        <v>2.0</v>
      </c>
      <c r="O610" s="12">
        <v>3.0</v>
      </c>
      <c r="P610" s="12">
        <v>7.0</v>
      </c>
      <c r="Q610" s="12" t="s">
        <v>174</v>
      </c>
      <c r="R610" s="12" t="s">
        <v>578</v>
      </c>
      <c r="T610" s="15">
        <v>0.0</v>
      </c>
      <c r="U610" s="12">
        <v>4.0</v>
      </c>
      <c r="V610" s="12" t="s">
        <v>566</v>
      </c>
    </row>
    <row r="611" ht="22.5" customHeight="1">
      <c r="A611" s="11">
        <v>46303.89635310185</v>
      </c>
      <c r="H611" s="12">
        <v>5.0</v>
      </c>
      <c r="I611" s="12">
        <v>5.0</v>
      </c>
      <c r="J611" s="12">
        <v>4.0</v>
      </c>
      <c r="K611" s="12">
        <v>5.0</v>
      </c>
      <c r="L611" s="12">
        <v>5.0</v>
      </c>
      <c r="M611" s="12">
        <v>5.0</v>
      </c>
      <c r="N611" s="12">
        <v>5.0</v>
      </c>
      <c r="O611" s="12">
        <v>5.0</v>
      </c>
      <c r="P611" s="12">
        <v>9.0</v>
      </c>
      <c r="T611" s="15">
        <v>0.0</v>
      </c>
      <c r="U611" s="12">
        <v>1.0</v>
      </c>
      <c r="V611" s="12" t="s">
        <v>579</v>
      </c>
    </row>
    <row r="612" ht="22.5" customHeight="1">
      <c r="A612" s="11">
        <v>46303.89879763889</v>
      </c>
      <c r="H612" s="12">
        <v>4.0</v>
      </c>
      <c r="I612" s="12">
        <v>4.0</v>
      </c>
      <c r="J612" s="12">
        <v>3.0</v>
      </c>
      <c r="K612" s="12">
        <v>3.0</v>
      </c>
      <c r="L612" s="12">
        <v>4.0</v>
      </c>
      <c r="M612" s="12">
        <v>4.0</v>
      </c>
      <c r="N612" s="12">
        <v>4.0</v>
      </c>
      <c r="O612" s="12">
        <v>4.0</v>
      </c>
      <c r="P612" s="12">
        <v>9.0</v>
      </c>
      <c r="T612" s="15">
        <v>0.0</v>
      </c>
      <c r="U612" s="12">
        <v>3.0</v>
      </c>
      <c r="V612" s="12" t="s">
        <v>580</v>
      </c>
    </row>
    <row r="613" ht="22.5" customHeight="1">
      <c r="A613" s="11">
        <v>46303.90555684028</v>
      </c>
      <c r="H613" s="12">
        <v>4.0</v>
      </c>
      <c r="I613" s="12">
        <v>5.0</v>
      </c>
      <c r="J613" s="12">
        <v>4.0</v>
      </c>
      <c r="K613" s="12">
        <v>4.0</v>
      </c>
      <c r="L613" s="12">
        <v>4.0</v>
      </c>
      <c r="M613" s="12">
        <v>4.0</v>
      </c>
      <c r="N613" s="12">
        <v>5.0</v>
      </c>
      <c r="O613" s="12">
        <v>5.0</v>
      </c>
      <c r="P613" s="12">
        <v>8.0</v>
      </c>
      <c r="T613" s="15">
        <v>0.0</v>
      </c>
      <c r="U613" s="12">
        <v>5.0</v>
      </c>
      <c r="V613" s="12" t="s">
        <v>581</v>
      </c>
    </row>
    <row r="614" ht="22.5" customHeight="1">
      <c r="A614" s="11">
        <v>46303.908456805555</v>
      </c>
      <c r="H614" s="12">
        <v>4.0</v>
      </c>
      <c r="I614" s="12">
        <v>4.0</v>
      </c>
      <c r="J614" s="12">
        <v>4.0</v>
      </c>
      <c r="K614" s="12">
        <v>3.0</v>
      </c>
      <c r="L614" s="12">
        <v>3.0</v>
      </c>
      <c r="M614" s="12">
        <v>3.0</v>
      </c>
      <c r="N614" s="12">
        <v>3.0</v>
      </c>
      <c r="O614" s="12">
        <v>3.0</v>
      </c>
      <c r="P614" s="12">
        <v>5.0</v>
      </c>
      <c r="Q614" s="12" t="s">
        <v>71</v>
      </c>
      <c r="R614" s="12" t="s">
        <v>582</v>
      </c>
      <c r="T614" s="15">
        <v>0.0</v>
      </c>
      <c r="U614" s="12">
        <v>5.0</v>
      </c>
      <c r="V614" s="12" t="s">
        <v>583</v>
      </c>
    </row>
    <row r="615" ht="22.5" customHeight="1">
      <c r="A615" s="11">
        <v>46303.9111987037</v>
      </c>
      <c r="H615" s="12">
        <v>5.0</v>
      </c>
      <c r="I615" s="12">
        <v>5.0</v>
      </c>
      <c r="J615" s="12">
        <v>4.0</v>
      </c>
      <c r="K615" s="12">
        <v>5.0</v>
      </c>
      <c r="L615" s="12">
        <v>5.0</v>
      </c>
      <c r="M615" s="12">
        <v>5.0</v>
      </c>
      <c r="N615" s="12">
        <v>5.0</v>
      </c>
      <c r="O615" s="12">
        <v>5.0</v>
      </c>
      <c r="P615" s="12">
        <v>9.0</v>
      </c>
      <c r="T615" s="15">
        <v>0.0</v>
      </c>
      <c r="V615" s="12" t="s">
        <v>584</v>
      </c>
    </row>
    <row r="616" ht="22.5" customHeight="1">
      <c r="A616" s="11">
        <v>46303.93602296297</v>
      </c>
      <c r="H616" s="12">
        <v>4.0</v>
      </c>
      <c r="I616" s="12">
        <v>4.0</v>
      </c>
      <c r="J616" s="12">
        <v>4.0</v>
      </c>
      <c r="K616" s="12">
        <v>4.0</v>
      </c>
      <c r="L616" s="12">
        <v>3.0</v>
      </c>
      <c r="M616" s="12">
        <v>4.0</v>
      </c>
      <c r="N616" s="12">
        <v>4.0</v>
      </c>
      <c r="O616" s="12">
        <v>5.0</v>
      </c>
      <c r="P616" s="12">
        <v>7.0</v>
      </c>
      <c r="T616" s="15">
        <v>0.0</v>
      </c>
      <c r="U616" s="12">
        <v>3.0</v>
      </c>
      <c r="V616" s="12" t="s">
        <v>585</v>
      </c>
    </row>
    <row r="617" ht="22.5" customHeight="1">
      <c r="A617" s="11">
        <v>46303.945882789354</v>
      </c>
      <c r="H617" s="12">
        <v>5.0</v>
      </c>
      <c r="I617" s="12">
        <v>5.0</v>
      </c>
      <c r="J617" s="12">
        <v>5.0</v>
      </c>
      <c r="K617" s="12">
        <v>5.0</v>
      </c>
      <c r="L617" s="12">
        <v>5.0</v>
      </c>
      <c r="M617" s="12">
        <v>5.0</v>
      </c>
      <c r="N617" s="12">
        <v>5.0</v>
      </c>
      <c r="O617" s="12">
        <v>5.0</v>
      </c>
      <c r="P617" s="12">
        <v>10.0</v>
      </c>
      <c r="Q617" s="12" t="s">
        <v>586</v>
      </c>
      <c r="R617" s="12" t="s">
        <v>587</v>
      </c>
      <c r="T617" s="15">
        <v>0.0</v>
      </c>
      <c r="U617" s="12">
        <v>5.0</v>
      </c>
      <c r="V617" s="12" t="s">
        <v>588</v>
      </c>
    </row>
    <row r="618" ht="22.5" customHeight="1">
      <c r="A618" s="11">
        <v>46303.98873534722</v>
      </c>
      <c r="H618" s="12">
        <v>5.0</v>
      </c>
      <c r="I618" s="12">
        <v>3.0</v>
      </c>
      <c r="J618" s="12">
        <v>3.0</v>
      </c>
      <c r="K618" s="12">
        <v>3.0</v>
      </c>
      <c r="L618" s="12">
        <v>4.0</v>
      </c>
      <c r="M618" s="12">
        <v>3.0</v>
      </c>
      <c r="N618" s="12">
        <v>4.0</v>
      </c>
      <c r="O618" s="12">
        <v>3.0</v>
      </c>
      <c r="P618" s="12">
        <v>7.0</v>
      </c>
      <c r="T618" s="15">
        <v>0.0</v>
      </c>
      <c r="U618" s="12">
        <v>1.0</v>
      </c>
      <c r="V618" s="12" t="s">
        <v>589</v>
      </c>
    </row>
    <row r="619" ht="22.5" customHeight="1">
      <c r="A619" s="11">
        <v>46303.9898699537</v>
      </c>
      <c r="H619" s="12">
        <v>4.0</v>
      </c>
      <c r="I619" s="12">
        <v>4.0</v>
      </c>
      <c r="J619" s="12">
        <v>5.0</v>
      </c>
      <c r="K619" s="12">
        <v>4.0</v>
      </c>
      <c r="L619" s="12">
        <v>4.0</v>
      </c>
      <c r="M619" s="12">
        <v>4.0</v>
      </c>
      <c r="N619" s="12">
        <v>4.0</v>
      </c>
      <c r="O619" s="12">
        <v>4.0</v>
      </c>
      <c r="P619" s="12">
        <v>8.0</v>
      </c>
      <c r="Q619" s="12" t="s">
        <v>590</v>
      </c>
      <c r="R619" s="12" t="s">
        <v>591</v>
      </c>
      <c r="T619" s="15">
        <v>0.0</v>
      </c>
      <c r="U619" s="12">
        <v>5.0</v>
      </c>
      <c r="V619" s="12" t="s">
        <v>592</v>
      </c>
    </row>
    <row r="620" ht="22.5" customHeight="1">
      <c r="A620" s="11">
        <v>46304.00138350694</v>
      </c>
      <c r="H620" s="12">
        <v>2.0</v>
      </c>
      <c r="I620" s="12">
        <v>5.0</v>
      </c>
      <c r="J620" s="12">
        <v>5.0</v>
      </c>
      <c r="K620" s="12">
        <v>5.0</v>
      </c>
      <c r="L620" s="12">
        <v>5.0</v>
      </c>
      <c r="M620" s="12">
        <v>5.0</v>
      </c>
      <c r="N620" s="12">
        <v>5.0</v>
      </c>
      <c r="O620" s="12">
        <v>5.0</v>
      </c>
      <c r="P620" s="12">
        <v>10.0</v>
      </c>
      <c r="R620" s="12" t="s">
        <v>593</v>
      </c>
      <c r="T620" s="15">
        <v>0.0</v>
      </c>
      <c r="U620" s="12">
        <v>3.0</v>
      </c>
      <c r="V620" s="12" t="s">
        <v>594</v>
      </c>
    </row>
    <row r="621" ht="22.5" customHeight="1">
      <c r="A621" s="11">
        <v>46304.009449062505</v>
      </c>
      <c r="H621" s="12">
        <v>4.0</v>
      </c>
      <c r="I621" s="12">
        <v>5.0</v>
      </c>
      <c r="J621" s="12">
        <v>4.0</v>
      </c>
      <c r="K621" s="12">
        <v>5.0</v>
      </c>
      <c r="L621" s="12">
        <v>5.0</v>
      </c>
      <c r="M621" s="12">
        <v>5.0</v>
      </c>
      <c r="N621" s="12">
        <v>5.0</v>
      </c>
      <c r="O621" s="12">
        <v>5.0</v>
      </c>
      <c r="P621" s="12">
        <v>10.0</v>
      </c>
      <c r="T621" s="15">
        <v>0.0</v>
      </c>
      <c r="U621" s="12">
        <v>5.0</v>
      </c>
      <c r="V621" s="12" t="s">
        <v>595</v>
      </c>
    </row>
    <row r="622" ht="22.5" customHeight="1">
      <c r="A622" s="11">
        <v>46304.014575451394</v>
      </c>
      <c r="H622" s="12">
        <v>3.0</v>
      </c>
      <c r="I622" s="12">
        <v>5.0</v>
      </c>
      <c r="J622" s="12">
        <v>5.0</v>
      </c>
      <c r="K622" s="12">
        <v>5.0</v>
      </c>
      <c r="L622" s="12">
        <v>5.0</v>
      </c>
      <c r="M622" s="12">
        <v>5.0</v>
      </c>
      <c r="N622" s="12">
        <v>5.0</v>
      </c>
      <c r="O622" s="12">
        <v>5.0</v>
      </c>
      <c r="P622" s="12">
        <v>9.0</v>
      </c>
      <c r="Q622" s="12" t="s">
        <v>79</v>
      </c>
      <c r="T622" s="15">
        <v>0.0</v>
      </c>
      <c r="U622" s="12">
        <v>5.0</v>
      </c>
      <c r="V622" s="12" t="s">
        <v>596</v>
      </c>
    </row>
    <row r="623" ht="22.5" customHeight="1">
      <c r="A623" s="11">
        <v>46304.05891885416</v>
      </c>
      <c r="H623" s="12">
        <v>4.0</v>
      </c>
      <c r="I623" s="12">
        <v>4.0</v>
      </c>
      <c r="J623" s="12">
        <v>4.0</v>
      </c>
      <c r="K623" s="12">
        <v>3.0</v>
      </c>
      <c r="L623" s="12">
        <v>3.0</v>
      </c>
      <c r="M623" s="12">
        <v>3.0</v>
      </c>
      <c r="N623" s="12">
        <v>3.0</v>
      </c>
      <c r="O623" s="12">
        <v>3.0</v>
      </c>
      <c r="P623" s="12">
        <v>7.0</v>
      </c>
      <c r="Q623" s="12" t="s">
        <v>79</v>
      </c>
      <c r="R623" s="12" t="s">
        <v>597</v>
      </c>
      <c r="T623" s="15">
        <v>0.0</v>
      </c>
      <c r="U623" s="12">
        <v>1.0</v>
      </c>
      <c r="V623" s="12" t="s">
        <v>598</v>
      </c>
    </row>
    <row r="624" ht="22.5" customHeight="1">
      <c r="A624" s="11">
        <v>46304.069067557866</v>
      </c>
      <c r="H624" s="12">
        <v>4.0</v>
      </c>
      <c r="I624" s="12">
        <v>4.0</v>
      </c>
      <c r="J624" s="12">
        <v>4.0</v>
      </c>
      <c r="K624" s="12">
        <v>3.0</v>
      </c>
      <c r="L624" s="12">
        <v>4.0</v>
      </c>
      <c r="M624" s="12">
        <v>3.0</v>
      </c>
      <c r="N624" s="12">
        <v>3.0</v>
      </c>
      <c r="O624" s="12">
        <v>3.0</v>
      </c>
      <c r="P624" s="12">
        <v>10.0</v>
      </c>
      <c r="T624" s="15">
        <v>0.0</v>
      </c>
      <c r="U624" s="12">
        <v>2.0</v>
      </c>
      <c r="V624" s="12" t="s">
        <v>599</v>
      </c>
    </row>
    <row r="625" ht="22.5" customHeight="1">
      <c r="A625" s="11">
        <v>46304.31541127315</v>
      </c>
      <c r="H625" s="12">
        <v>5.0</v>
      </c>
      <c r="I625" s="12">
        <v>5.0</v>
      </c>
      <c r="J625" s="12">
        <v>5.0</v>
      </c>
      <c r="K625" s="12">
        <v>5.0</v>
      </c>
      <c r="L625" s="12">
        <v>5.0</v>
      </c>
      <c r="M625" s="12">
        <v>5.0</v>
      </c>
      <c r="N625" s="12">
        <v>5.0</v>
      </c>
      <c r="O625" s="12">
        <v>5.0</v>
      </c>
      <c r="P625" s="12">
        <v>10.0</v>
      </c>
      <c r="T625" s="15">
        <v>0.0</v>
      </c>
      <c r="U625" s="12">
        <v>5.0</v>
      </c>
      <c r="V625" s="12" t="s">
        <v>600</v>
      </c>
    </row>
    <row r="626" ht="22.5" customHeight="1">
      <c r="A626" s="11">
        <v>46304.332713344906</v>
      </c>
      <c r="H626" s="12">
        <v>3.0</v>
      </c>
      <c r="I626" s="12">
        <v>3.0</v>
      </c>
      <c r="J626" s="12">
        <v>3.0</v>
      </c>
      <c r="K626" s="12">
        <v>3.0</v>
      </c>
      <c r="L626" s="12">
        <v>3.0</v>
      </c>
      <c r="M626" s="12">
        <v>3.0</v>
      </c>
      <c r="N626" s="12">
        <v>3.0</v>
      </c>
      <c r="O626" s="12">
        <v>3.0</v>
      </c>
      <c r="P626" s="12">
        <v>8.0</v>
      </c>
      <c r="Q626" s="12" t="s">
        <v>601</v>
      </c>
      <c r="T626" s="15">
        <v>0.0</v>
      </c>
      <c r="U626" s="12">
        <v>3.0</v>
      </c>
      <c r="V626" s="12" t="s">
        <v>602</v>
      </c>
    </row>
    <row r="627" ht="22.5" customHeight="1">
      <c r="A627" s="11">
        <v>46304.3611959838</v>
      </c>
      <c r="I627" s="12">
        <v>5.0</v>
      </c>
      <c r="J627" s="12">
        <v>5.0</v>
      </c>
      <c r="K627" s="12">
        <v>5.0</v>
      </c>
      <c r="L627" s="12">
        <v>5.0</v>
      </c>
      <c r="M627" s="12">
        <v>5.0</v>
      </c>
      <c r="N627" s="12">
        <v>5.0</v>
      </c>
      <c r="O627" s="12">
        <v>5.0</v>
      </c>
      <c r="P627" s="12">
        <v>9.0</v>
      </c>
      <c r="T627" s="15">
        <v>0.0</v>
      </c>
      <c r="V627" s="12" t="s">
        <v>603</v>
      </c>
    </row>
    <row r="628" ht="22.5" customHeight="1">
      <c r="A628" s="11">
        <v>46304.3655333912</v>
      </c>
      <c r="H628" s="12">
        <v>3.0</v>
      </c>
      <c r="I628" s="12">
        <v>3.0</v>
      </c>
      <c r="J628" s="12">
        <v>3.0</v>
      </c>
      <c r="K628" s="12">
        <v>3.0</v>
      </c>
      <c r="L628" s="12">
        <v>3.0</v>
      </c>
      <c r="M628" s="12">
        <v>3.0</v>
      </c>
      <c r="N628" s="12">
        <v>3.0</v>
      </c>
      <c r="O628" s="12">
        <v>3.0</v>
      </c>
      <c r="P628" s="12">
        <v>5.0</v>
      </c>
      <c r="T628" s="15">
        <v>0.0</v>
      </c>
      <c r="U628" s="12">
        <v>2.0</v>
      </c>
      <c r="V628" s="12" t="s">
        <v>604</v>
      </c>
    </row>
    <row r="629" ht="22.5" customHeight="1">
      <c r="A629" s="11">
        <v>46304.37218503472</v>
      </c>
      <c r="H629" s="12">
        <v>5.0</v>
      </c>
      <c r="I629" s="12">
        <v>4.0</v>
      </c>
      <c r="J629" s="12">
        <v>4.0</v>
      </c>
      <c r="K629" s="12">
        <v>4.0</v>
      </c>
      <c r="L629" s="12">
        <v>5.0</v>
      </c>
      <c r="M629" s="12">
        <v>5.0</v>
      </c>
      <c r="N629" s="12">
        <v>4.0</v>
      </c>
      <c r="O629" s="12">
        <v>4.0</v>
      </c>
      <c r="P629" s="12">
        <v>10.0</v>
      </c>
      <c r="T629" s="15">
        <v>0.0</v>
      </c>
      <c r="U629" s="12">
        <v>1.0</v>
      </c>
      <c r="V629" s="12" t="s">
        <v>605</v>
      </c>
    </row>
    <row r="630" ht="22.5" customHeight="1">
      <c r="A630" s="11">
        <v>46304.389358252316</v>
      </c>
      <c r="H630" s="12">
        <v>4.0</v>
      </c>
      <c r="I630" s="12">
        <v>4.0</v>
      </c>
      <c r="J630" s="12">
        <v>4.0</v>
      </c>
      <c r="K630" s="12">
        <v>4.0</v>
      </c>
      <c r="L630" s="12">
        <v>4.0</v>
      </c>
      <c r="N630" s="12">
        <v>4.0</v>
      </c>
      <c r="O630" s="12">
        <v>4.0</v>
      </c>
      <c r="P630" s="12">
        <v>5.0</v>
      </c>
      <c r="T630" s="15">
        <v>0.0</v>
      </c>
      <c r="U630" s="12">
        <v>5.0</v>
      </c>
      <c r="V630" s="12" t="s">
        <v>606</v>
      </c>
    </row>
    <row r="631" ht="22.5" customHeight="1">
      <c r="A631" s="11">
        <v>46304.412026238424</v>
      </c>
      <c r="H631" s="12">
        <v>3.0</v>
      </c>
      <c r="I631" s="12">
        <v>5.0</v>
      </c>
      <c r="J631" s="12">
        <v>5.0</v>
      </c>
      <c r="K631" s="12">
        <v>5.0</v>
      </c>
      <c r="L631" s="12">
        <v>4.0</v>
      </c>
      <c r="M631" s="12">
        <v>5.0</v>
      </c>
      <c r="N631" s="12">
        <v>5.0</v>
      </c>
      <c r="O631" s="12">
        <v>5.0</v>
      </c>
      <c r="P631" s="12">
        <v>10.0</v>
      </c>
      <c r="Q631" s="12" t="s">
        <v>607</v>
      </c>
      <c r="R631" s="12" t="s">
        <v>608</v>
      </c>
      <c r="T631" s="15">
        <v>0.0</v>
      </c>
      <c r="U631" s="12">
        <v>1.0</v>
      </c>
      <c r="V631" s="12" t="s">
        <v>609</v>
      </c>
    </row>
    <row r="632" ht="22.5" customHeight="1">
      <c r="A632" s="11">
        <v>46304.45664310185</v>
      </c>
      <c r="H632" s="12">
        <v>3.0</v>
      </c>
      <c r="I632" s="12">
        <v>3.0</v>
      </c>
      <c r="J632" s="12">
        <v>3.0</v>
      </c>
      <c r="K632" s="12">
        <v>3.0</v>
      </c>
      <c r="L632" s="12">
        <v>3.0</v>
      </c>
      <c r="M632" s="12">
        <v>3.0</v>
      </c>
      <c r="N632" s="12">
        <v>3.0</v>
      </c>
      <c r="O632" s="12">
        <v>3.0</v>
      </c>
      <c r="P632" s="12">
        <v>5.0</v>
      </c>
      <c r="T632" s="15">
        <v>0.0</v>
      </c>
      <c r="U632" s="12">
        <v>4.0</v>
      </c>
      <c r="V632" s="12" t="s">
        <v>610</v>
      </c>
    </row>
    <row r="633" ht="22.5" customHeight="1">
      <c r="A633" s="11">
        <v>46304.45741775463</v>
      </c>
      <c r="H633" s="12">
        <v>3.0</v>
      </c>
      <c r="I633" s="12">
        <v>3.0</v>
      </c>
      <c r="J633" s="12">
        <v>3.0</v>
      </c>
      <c r="K633" s="12">
        <v>3.0</v>
      </c>
      <c r="L633" s="12">
        <v>3.0</v>
      </c>
      <c r="M633" s="12">
        <v>3.0</v>
      </c>
      <c r="N633" s="12">
        <v>3.0</v>
      </c>
      <c r="O633" s="12">
        <v>3.0</v>
      </c>
      <c r="P633" s="12">
        <v>5.0</v>
      </c>
      <c r="T633" s="15">
        <v>0.0</v>
      </c>
      <c r="U633" s="12">
        <v>3.0</v>
      </c>
      <c r="V633" s="12" t="s">
        <v>610</v>
      </c>
    </row>
    <row r="634" ht="22.5" customHeight="1">
      <c r="A634" s="11">
        <v>46304.459631805556</v>
      </c>
      <c r="H634" s="12">
        <v>4.0</v>
      </c>
      <c r="I634" s="12">
        <v>5.0</v>
      </c>
      <c r="J634" s="12">
        <v>4.0</v>
      </c>
      <c r="K634" s="12">
        <v>5.0</v>
      </c>
      <c r="L634" s="12">
        <v>4.0</v>
      </c>
      <c r="M634" s="12">
        <v>5.0</v>
      </c>
      <c r="N634" s="12">
        <v>5.0</v>
      </c>
      <c r="O634" s="12">
        <v>5.0</v>
      </c>
      <c r="P634" s="12">
        <v>8.0</v>
      </c>
      <c r="Q634" s="12" t="s">
        <v>44</v>
      </c>
      <c r="R634" s="12" t="s">
        <v>316</v>
      </c>
      <c r="T634" s="15">
        <v>0.0</v>
      </c>
      <c r="U634" s="12">
        <v>4.0</v>
      </c>
      <c r="V634" s="12" t="s">
        <v>611</v>
      </c>
    </row>
    <row r="635" ht="22.5" customHeight="1">
      <c r="A635" s="11">
        <v>46304.46548368056</v>
      </c>
      <c r="H635" s="12">
        <v>4.0</v>
      </c>
      <c r="I635" s="12">
        <v>5.0</v>
      </c>
      <c r="J635" s="12">
        <v>5.0</v>
      </c>
      <c r="K635" s="12">
        <v>5.0</v>
      </c>
      <c r="L635" s="12">
        <v>5.0</v>
      </c>
      <c r="M635" s="12">
        <v>5.0</v>
      </c>
      <c r="N635" s="12">
        <v>5.0</v>
      </c>
      <c r="O635" s="12">
        <v>5.0</v>
      </c>
      <c r="P635" s="12">
        <v>10.0</v>
      </c>
      <c r="Q635" s="12" t="s">
        <v>44</v>
      </c>
      <c r="R635" s="12" t="s">
        <v>407</v>
      </c>
      <c r="T635" s="15">
        <v>0.0</v>
      </c>
      <c r="U635" s="12">
        <v>1.0</v>
      </c>
      <c r="V635" s="12" t="s">
        <v>612</v>
      </c>
    </row>
    <row r="636" ht="22.5" customHeight="1">
      <c r="A636" s="11">
        <v>46304.46599181713</v>
      </c>
      <c r="H636" s="12">
        <v>5.0</v>
      </c>
      <c r="I636" s="12">
        <v>5.0</v>
      </c>
      <c r="J636" s="12">
        <v>5.0</v>
      </c>
      <c r="K636" s="12">
        <v>5.0</v>
      </c>
      <c r="L636" s="12">
        <v>5.0</v>
      </c>
      <c r="M636" s="12">
        <v>5.0</v>
      </c>
      <c r="N636" s="12">
        <v>5.0</v>
      </c>
      <c r="O636" s="12">
        <v>5.0</v>
      </c>
      <c r="P636" s="12">
        <v>8.0</v>
      </c>
      <c r="Q636" s="12" t="s">
        <v>44</v>
      </c>
      <c r="R636" s="12" t="s">
        <v>407</v>
      </c>
      <c r="T636" s="15">
        <v>0.0</v>
      </c>
      <c r="U636" s="12">
        <v>4.0</v>
      </c>
      <c r="V636" s="12" t="s">
        <v>612</v>
      </c>
    </row>
    <row r="637" ht="22.5" customHeight="1">
      <c r="A637" s="11">
        <v>46304.47031710648</v>
      </c>
      <c r="H637" s="12">
        <v>3.0</v>
      </c>
      <c r="I637" s="12">
        <v>3.0</v>
      </c>
      <c r="J637" s="12">
        <v>3.0</v>
      </c>
      <c r="K637" s="12">
        <v>3.0</v>
      </c>
      <c r="L637" s="12">
        <v>3.0</v>
      </c>
      <c r="M637" s="12">
        <v>3.0</v>
      </c>
      <c r="N637" s="12">
        <v>3.0</v>
      </c>
      <c r="O637" s="12">
        <v>3.0</v>
      </c>
      <c r="P637" s="12">
        <v>6.0</v>
      </c>
      <c r="Q637" s="12" t="s">
        <v>613</v>
      </c>
      <c r="R637" s="12" t="s">
        <v>614</v>
      </c>
      <c r="T637" s="15">
        <v>0.0</v>
      </c>
      <c r="U637" s="12">
        <v>5.0</v>
      </c>
      <c r="V637" s="12" t="s">
        <v>615</v>
      </c>
    </row>
    <row r="638" ht="22.5" customHeight="1">
      <c r="A638" s="11">
        <v>46304.48307930556</v>
      </c>
      <c r="H638" s="12">
        <v>4.0</v>
      </c>
      <c r="I638" s="12">
        <v>4.0</v>
      </c>
      <c r="J638" s="12">
        <v>4.0</v>
      </c>
      <c r="K638" s="12">
        <v>4.0</v>
      </c>
      <c r="L638" s="12">
        <v>3.0</v>
      </c>
      <c r="M638" s="12">
        <v>4.0</v>
      </c>
      <c r="N638" s="12">
        <v>5.0</v>
      </c>
      <c r="O638" s="12">
        <v>4.0</v>
      </c>
      <c r="P638" s="12">
        <v>8.0</v>
      </c>
      <c r="T638" s="15">
        <v>0.0</v>
      </c>
      <c r="U638" s="12">
        <v>1.0</v>
      </c>
      <c r="V638" s="12" t="s">
        <v>616</v>
      </c>
    </row>
    <row r="639" ht="22.5" customHeight="1">
      <c r="A639" s="11">
        <v>46304.53126454861</v>
      </c>
      <c r="H639" s="12">
        <v>3.0</v>
      </c>
      <c r="I639" s="12">
        <v>4.0</v>
      </c>
      <c r="J639" s="12">
        <v>5.0</v>
      </c>
      <c r="K639" s="12">
        <v>4.0</v>
      </c>
      <c r="L639" s="12">
        <v>4.0</v>
      </c>
      <c r="M639" s="12">
        <v>4.0</v>
      </c>
      <c r="N639" s="12">
        <v>5.0</v>
      </c>
      <c r="O639" s="12">
        <v>5.0</v>
      </c>
      <c r="P639" s="12">
        <v>8.0</v>
      </c>
      <c r="Q639" s="12" t="s">
        <v>44</v>
      </c>
      <c r="R639" s="12" t="s">
        <v>617</v>
      </c>
      <c r="T639" s="15">
        <v>0.0</v>
      </c>
      <c r="U639" s="12">
        <v>5.0</v>
      </c>
      <c r="V639" s="12" t="s">
        <v>618</v>
      </c>
    </row>
    <row r="640" ht="22.5" customHeight="1">
      <c r="A640" s="11">
        <v>46304.61559606482</v>
      </c>
      <c r="H640" s="12">
        <v>4.0</v>
      </c>
      <c r="I640" s="12">
        <v>4.0</v>
      </c>
      <c r="J640" s="12">
        <v>4.0</v>
      </c>
      <c r="K640" s="12">
        <v>3.0</v>
      </c>
      <c r="L640" s="12">
        <v>3.0</v>
      </c>
      <c r="M640" s="12">
        <v>4.0</v>
      </c>
      <c r="N640" s="12">
        <v>3.0</v>
      </c>
      <c r="O640" s="12">
        <v>4.0</v>
      </c>
      <c r="P640" s="12">
        <v>8.0</v>
      </c>
      <c r="R640" s="12" t="s">
        <v>44</v>
      </c>
      <c r="T640" s="15">
        <v>0.0</v>
      </c>
      <c r="U640" s="12">
        <v>2.0</v>
      </c>
      <c r="V640" s="12" t="s">
        <v>619</v>
      </c>
    </row>
    <row r="641" ht="22.5" customHeight="1">
      <c r="A641" s="11">
        <v>46304.707659155094</v>
      </c>
      <c r="H641" s="12">
        <v>4.0</v>
      </c>
      <c r="I641" s="12">
        <v>4.0</v>
      </c>
      <c r="J641" s="12">
        <v>3.0</v>
      </c>
      <c r="K641" s="12">
        <v>4.0</v>
      </c>
      <c r="L641" s="12">
        <v>3.0</v>
      </c>
      <c r="M641" s="12">
        <v>4.0</v>
      </c>
      <c r="N641" s="12">
        <v>5.0</v>
      </c>
      <c r="O641" s="12">
        <v>4.0</v>
      </c>
      <c r="P641" s="12">
        <v>8.0</v>
      </c>
      <c r="Q641" s="12" t="s">
        <v>41</v>
      </c>
      <c r="R641" s="12" t="s">
        <v>41</v>
      </c>
      <c r="T641" s="15">
        <v>0.0</v>
      </c>
      <c r="U641" s="12">
        <v>2.0</v>
      </c>
      <c r="V641" s="12" t="s">
        <v>620</v>
      </c>
    </row>
    <row r="642" ht="22.5" customHeight="1">
      <c r="A642" s="11">
        <v>46304.7174787963</v>
      </c>
      <c r="H642" s="12">
        <v>5.0</v>
      </c>
      <c r="I642" s="12">
        <v>5.0</v>
      </c>
      <c r="J642" s="12">
        <v>5.0</v>
      </c>
      <c r="K642" s="12">
        <v>5.0</v>
      </c>
      <c r="L642" s="12">
        <v>5.0</v>
      </c>
      <c r="M642" s="12">
        <v>5.0</v>
      </c>
      <c r="N642" s="12">
        <v>5.0</v>
      </c>
      <c r="O642" s="12">
        <v>5.0</v>
      </c>
      <c r="P642" s="12">
        <v>10.0</v>
      </c>
      <c r="Q642" s="12" t="s">
        <v>79</v>
      </c>
      <c r="R642" s="12" t="s">
        <v>621</v>
      </c>
      <c r="T642" s="15">
        <v>0.0</v>
      </c>
      <c r="U642" s="12">
        <v>5.0</v>
      </c>
      <c r="V642" s="12" t="s">
        <v>622</v>
      </c>
    </row>
    <row r="643" ht="22.5" customHeight="1">
      <c r="A643" s="11">
        <v>46304.71832539352</v>
      </c>
      <c r="H643" s="12">
        <v>5.0</v>
      </c>
      <c r="I643" s="12">
        <v>5.0</v>
      </c>
      <c r="J643" s="12">
        <v>5.0</v>
      </c>
      <c r="K643" s="12">
        <v>5.0</v>
      </c>
      <c r="L643" s="12">
        <v>5.0</v>
      </c>
      <c r="M643" s="12">
        <v>5.0</v>
      </c>
      <c r="N643" s="12">
        <v>5.0</v>
      </c>
      <c r="O643" s="12">
        <v>5.0</v>
      </c>
      <c r="P643" s="12">
        <v>10.0</v>
      </c>
      <c r="Q643" s="12" t="s">
        <v>623</v>
      </c>
      <c r="R643" s="12" t="s">
        <v>570</v>
      </c>
      <c r="T643" s="15">
        <v>0.0</v>
      </c>
      <c r="U643" s="12">
        <v>4.0</v>
      </c>
      <c r="V643" s="12" t="s">
        <v>624</v>
      </c>
    </row>
    <row r="644" ht="22.5" customHeight="1">
      <c r="A644" s="11">
        <v>46304.72506943287</v>
      </c>
      <c r="H644" s="12">
        <v>3.0</v>
      </c>
      <c r="I644" s="12">
        <v>4.0</v>
      </c>
      <c r="J644" s="12">
        <v>5.0</v>
      </c>
      <c r="K644" s="12">
        <v>4.0</v>
      </c>
      <c r="L644" s="12">
        <v>5.0</v>
      </c>
      <c r="M644" s="12">
        <v>4.0</v>
      </c>
      <c r="N644" s="12">
        <v>4.0</v>
      </c>
      <c r="O644" s="12">
        <v>4.0</v>
      </c>
      <c r="P644" s="12">
        <v>7.0</v>
      </c>
      <c r="Q644" s="12" t="s">
        <v>625</v>
      </c>
      <c r="R644" s="12" t="s">
        <v>71</v>
      </c>
      <c r="T644" s="15">
        <v>0.0</v>
      </c>
      <c r="U644" s="12">
        <v>5.0</v>
      </c>
      <c r="V644" s="12" t="s">
        <v>626</v>
      </c>
    </row>
    <row r="645" ht="22.5" customHeight="1">
      <c r="A645" s="11">
        <v>46304.72611481481</v>
      </c>
      <c r="H645" s="12">
        <v>4.0</v>
      </c>
      <c r="I645" s="12">
        <v>5.0</v>
      </c>
      <c r="J645" s="12">
        <v>4.0</v>
      </c>
      <c r="K645" s="12">
        <v>5.0</v>
      </c>
      <c r="L645" s="12">
        <v>5.0</v>
      </c>
      <c r="M645" s="12">
        <v>4.0</v>
      </c>
      <c r="N645" s="12">
        <v>4.0</v>
      </c>
      <c r="O645" s="12">
        <v>5.0</v>
      </c>
      <c r="P645" s="12">
        <v>8.0</v>
      </c>
      <c r="Q645" s="12" t="s">
        <v>627</v>
      </c>
      <c r="R645" s="12" t="s">
        <v>570</v>
      </c>
      <c r="T645" s="15">
        <v>0.0</v>
      </c>
      <c r="V645" s="12" t="s">
        <v>628</v>
      </c>
    </row>
    <row r="646" ht="22.5" customHeight="1">
      <c r="A646" s="11">
        <v>46304.73407118056</v>
      </c>
      <c r="H646" s="12">
        <v>5.0</v>
      </c>
      <c r="I646" s="12">
        <v>5.0</v>
      </c>
      <c r="J646" s="12">
        <v>5.0</v>
      </c>
      <c r="K646" s="12">
        <v>5.0</v>
      </c>
      <c r="L646" s="12">
        <v>4.0</v>
      </c>
      <c r="M646" s="12">
        <v>5.0</v>
      </c>
      <c r="N646" s="12">
        <v>5.0</v>
      </c>
      <c r="O646" s="12">
        <v>5.0</v>
      </c>
      <c r="P646" s="12">
        <v>8.0</v>
      </c>
      <c r="Q646" s="12" t="s">
        <v>629</v>
      </c>
      <c r="R646" s="12" t="s">
        <v>71</v>
      </c>
      <c r="T646" s="15">
        <v>0.0</v>
      </c>
      <c r="U646" s="12">
        <v>5.0</v>
      </c>
      <c r="V646" s="12" t="s">
        <v>630</v>
      </c>
    </row>
    <row r="647" ht="22.5" customHeight="1">
      <c r="A647" s="11">
        <v>46304.76204936343</v>
      </c>
      <c r="H647" s="12">
        <v>4.0</v>
      </c>
      <c r="I647" s="12">
        <v>3.0</v>
      </c>
      <c r="J647" s="12">
        <v>3.0</v>
      </c>
      <c r="K647" s="12">
        <v>3.0</v>
      </c>
      <c r="L647" s="12">
        <v>4.0</v>
      </c>
      <c r="M647" s="12">
        <v>4.0</v>
      </c>
      <c r="N647" s="12">
        <v>4.0</v>
      </c>
      <c r="O647" s="12">
        <v>4.0</v>
      </c>
      <c r="P647" s="12">
        <v>8.0</v>
      </c>
      <c r="T647" s="15">
        <v>0.0</v>
      </c>
      <c r="V647" s="12" t="s">
        <v>631</v>
      </c>
    </row>
    <row r="648" ht="22.5" customHeight="1">
      <c r="A648" s="11">
        <v>46304.7769478588</v>
      </c>
      <c r="H648" s="12">
        <v>4.0</v>
      </c>
      <c r="I648" s="12">
        <v>5.0</v>
      </c>
      <c r="J648" s="12">
        <v>4.0</v>
      </c>
      <c r="K648" s="12">
        <v>4.0</v>
      </c>
      <c r="L648" s="12">
        <v>4.0</v>
      </c>
      <c r="M648" s="12">
        <v>5.0</v>
      </c>
      <c r="N648" s="12">
        <v>5.0</v>
      </c>
      <c r="O648" s="12">
        <v>5.0</v>
      </c>
      <c r="P648" s="12">
        <v>10.0</v>
      </c>
      <c r="T648" s="15">
        <v>0.0</v>
      </c>
      <c r="U648" s="12">
        <v>3.0</v>
      </c>
      <c r="V648" s="12" t="s">
        <v>632</v>
      </c>
    </row>
    <row r="649" ht="22.5" customHeight="1">
      <c r="A649" s="11">
        <v>46304.77877351852</v>
      </c>
      <c r="H649" s="12">
        <v>3.0</v>
      </c>
      <c r="I649" s="12">
        <v>4.0</v>
      </c>
      <c r="J649" s="12">
        <v>4.0</v>
      </c>
      <c r="K649" s="12">
        <v>5.0</v>
      </c>
      <c r="L649" s="12">
        <v>3.0</v>
      </c>
      <c r="M649" s="12">
        <v>4.0</v>
      </c>
      <c r="N649" s="12">
        <v>5.0</v>
      </c>
      <c r="O649" s="12">
        <v>4.0</v>
      </c>
      <c r="P649" s="12">
        <v>7.0</v>
      </c>
      <c r="Q649" s="12" t="s">
        <v>633</v>
      </c>
      <c r="R649" s="12" t="s">
        <v>634</v>
      </c>
      <c r="T649" s="15">
        <v>0.0</v>
      </c>
      <c r="U649" s="12">
        <v>1.0</v>
      </c>
      <c r="V649" s="12" t="s">
        <v>635</v>
      </c>
    </row>
    <row r="650" ht="22.5" customHeight="1">
      <c r="A650" s="11">
        <v>46304.79076912037</v>
      </c>
      <c r="H650" s="12">
        <v>3.0</v>
      </c>
      <c r="I650" s="12">
        <v>4.0</v>
      </c>
      <c r="J650" s="12">
        <v>3.0</v>
      </c>
      <c r="K650" s="12">
        <v>4.0</v>
      </c>
      <c r="L650" s="12">
        <v>4.0</v>
      </c>
      <c r="M650" s="12">
        <v>4.0</v>
      </c>
      <c r="N650" s="12">
        <v>3.0</v>
      </c>
      <c r="O650" s="12">
        <v>4.0</v>
      </c>
      <c r="P650" s="12">
        <v>7.0</v>
      </c>
      <c r="Q650" s="12" t="s">
        <v>636</v>
      </c>
      <c r="R650" s="12" t="s">
        <v>637</v>
      </c>
      <c r="T650" s="15">
        <v>0.0</v>
      </c>
      <c r="U650" s="12">
        <v>5.0</v>
      </c>
      <c r="V650" s="12" t="s">
        <v>638</v>
      </c>
    </row>
    <row r="651" ht="22.5" customHeight="1">
      <c r="A651" s="11">
        <v>46304.79942130787</v>
      </c>
      <c r="H651" s="12">
        <v>4.0</v>
      </c>
      <c r="I651" s="12">
        <v>4.0</v>
      </c>
      <c r="J651" s="12">
        <v>4.0</v>
      </c>
      <c r="K651" s="12">
        <v>4.0</v>
      </c>
      <c r="L651" s="12">
        <v>4.0</v>
      </c>
      <c r="M651" s="12">
        <v>4.0</v>
      </c>
      <c r="N651" s="12">
        <v>4.0</v>
      </c>
      <c r="O651" s="12">
        <v>4.0</v>
      </c>
      <c r="P651" s="12">
        <v>9.0</v>
      </c>
      <c r="T651" s="15">
        <v>0.0</v>
      </c>
      <c r="U651" s="12">
        <v>5.0</v>
      </c>
      <c r="V651" s="12" t="s">
        <v>639</v>
      </c>
    </row>
    <row r="652" ht="22.5" customHeight="1">
      <c r="A652" s="11">
        <v>46304.81526092593</v>
      </c>
      <c r="H652" s="12">
        <v>5.0</v>
      </c>
      <c r="I652" s="12">
        <v>5.0</v>
      </c>
      <c r="J652" s="12">
        <v>5.0</v>
      </c>
      <c r="K652" s="12">
        <v>5.0</v>
      </c>
      <c r="L652" s="12">
        <v>5.0</v>
      </c>
      <c r="M652" s="12">
        <v>5.0</v>
      </c>
      <c r="N652" s="12">
        <v>5.0</v>
      </c>
      <c r="O652" s="12">
        <v>5.0</v>
      </c>
      <c r="P652" s="12">
        <v>7.0</v>
      </c>
      <c r="Q652" s="12" t="s">
        <v>456</v>
      </c>
      <c r="T652" s="15">
        <v>0.0</v>
      </c>
      <c r="U652" s="12">
        <v>5.0</v>
      </c>
      <c r="V652" s="12" t="s">
        <v>640</v>
      </c>
    </row>
    <row r="653" ht="22.5" customHeight="1">
      <c r="A653" s="11">
        <v>46304.81816638889</v>
      </c>
      <c r="H653" s="12">
        <v>1.0</v>
      </c>
      <c r="I653" s="12">
        <v>1.0</v>
      </c>
      <c r="J653" s="12">
        <v>1.0</v>
      </c>
      <c r="K653" s="12">
        <v>1.0</v>
      </c>
      <c r="L653" s="12">
        <v>3.0</v>
      </c>
      <c r="M653" s="12">
        <v>1.0</v>
      </c>
      <c r="N653" s="12">
        <v>2.0</v>
      </c>
      <c r="O653" s="12">
        <v>3.0</v>
      </c>
      <c r="P653" s="12">
        <v>3.0</v>
      </c>
      <c r="T653" s="15">
        <v>0.0</v>
      </c>
      <c r="U653" s="12">
        <v>1.0</v>
      </c>
      <c r="V653" s="12" t="s">
        <v>641</v>
      </c>
    </row>
    <row r="654" ht="22.5" customHeight="1">
      <c r="A654" s="11">
        <v>46304.86117287037</v>
      </c>
      <c r="H654" s="12">
        <v>4.0</v>
      </c>
      <c r="I654" s="12">
        <v>4.0</v>
      </c>
      <c r="J654" s="12">
        <v>3.0</v>
      </c>
      <c r="K654" s="12">
        <v>4.0</v>
      </c>
      <c r="L654" s="12">
        <v>4.0</v>
      </c>
      <c r="M654" s="12">
        <v>4.0</v>
      </c>
      <c r="N654" s="12">
        <v>4.0</v>
      </c>
      <c r="O654" s="12">
        <v>4.0</v>
      </c>
      <c r="P654" s="12">
        <v>6.0</v>
      </c>
      <c r="T654" s="15">
        <v>0.0</v>
      </c>
      <c r="U654" s="12">
        <v>1.0</v>
      </c>
      <c r="V654" s="12" t="s">
        <v>642</v>
      </c>
    </row>
    <row r="655" ht="22.5" customHeight="1">
      <c r="A655" s="11">
        <v>46304.877678530094</v>
      </c>
      <c r="H655" s="12">
        <v>5.0</v>
      </c>
      <c r="I655" s="12">
        <v>4.0</v>
      </c>
      <c r="J655" s="12">
        <v>4.0</v>
      </c>
      <c r="K655" s="12">
        <v>4.0</v>
      </c>
      <c r="L655" s="12">
        <v>4.0</v>
      </c>
      <c r="M655" s="12">
        <v>4.0</v>
      </c>
      <c r="N655" s="12">
        <v>4.0</v>
      </c>
      <c r="O655" s="12">
        <v>4.0</v>
      </c>
      <c r="P655" s="12">
        <v>9.0</v>
      </c>
      <c r="Q655" s="12" t="s">
        <v>41</v>
      </c>
      <c r="R655" s="12" t="s">
        <v>41</v>
      </c>
      <c r="T655" s="15">
        <v>0.0</v>
      </c>
      <c r="U655" s="12">
        <v>1.0</v>
      </c>
      <c r="V655" s="12" t="s">
        <v>643</v>
      </c>
    </row>
    <row r="656" ht="22.5" customHeight="1">
      <c r="A656" s="11">
        <v>46304.907088946755</v>
      </c>
      <c r="H656" s="12">
        <v>4.0</v>
      </c>
      <c r="I656" s="12">
        <v>5.0</v>
      </c>
      <c r="J656" s="12">
        <v>5.0</v>
      </c>
      <c r="K656" s="12">
        <v>5.0</v>
      </c>
      <c r="L656" s="12">
        <v>4.0</v>
      </c>
      <c r="M656" s="12">
        <v>4.0</v>
      </c>
      <c r="N656" s="12">
        <v>4.0</v>
      </c>
      <c r="O656" s="12">
        <v>4.0</v>
      </c>
      <c r="P656" s="12">
        <v>9.0</v>
      </c>
      <c r="T656" s="15">
        <v>0.0</v>
      </c>
      <c r="V656" s="12" t="s">
        <v>644</v>
      </c>
    </row>
    <row r="657" ht="22.5" customHeight="1">
      <c r="A657" s="11">
        <v>46304.909728865736</v>
      </c>
      <c r="H657" s="12">
        <v>5.0</v>
      </c>
      <c r="I657" s="12">
        <v>5.0</v>
      </c>
      <c r="J657" s="12">
        <v>5.0</v>
      </c>
      <c r="K657" s="12">
        <v>5.0</v>
      </c>
      <c r="L657" s="12">
        <v>5.0</v>
      </c>
      <c r="M657" s="12">
        <v>5.0</v>
      </c>
      <c r="N657" s="12">
        <v>5.0</v>
      </c>
      <c r="O657" s="12">
        <v>5.0</v>
      </c>
      <c r="P657" s="12">
        <v>10.0</v>
      </c>
      <c r="Q657" s="12" t="s">
        <v>150</v>
      </c>
      <c r="R657" s="12" t="s">
        <v>150</v>
      </c>
      <c r="T657" s="15">
        <v>0.0</v>
      </c>
      <c r="U657" s="12">
        <v>3.0</v>
      </c>
      <c r="V657" s="12" t="s">
        <v>645</v>
      </c>
    </row>
    <row r="658" ht="22.5" customHeight="1">
      <c r="A658" s="11">
        <v>46304.91063795139</v>
      </c>
      <c r="H658" s="12">
        <v>3.0</v>
      </c>
      <c r="I658" s="12">
        <v>4.0</v>
      </c>
      <c r="J658" s="12">
        <v>5.0</v>
      </c>
      <c r="K658" s="12">
        <v>5.0</v>
      </c>
      <c r="L658" s="12">
        <v>4.0</v>
      </c>
      <c r="M658" s="12">
        <v>5.0</v>
      </c>
      <c r="N658" s="12">
        <v>4.0</v>
      </c>
      <c r="O658" s="12">
        <v>5.0</v>
      </c>
      <c r="P658" s="12">
        <v>10.0</v>
      </c>
      <c r="T658" s="15">
        <v>0.0</v>
      </c>
      <c r="U658" s="12">
        <v>5.0</v>
      </c>
      <c r="V658" s="12" t="s">
        <v>646</v>
      </c>
    </row>
    <row r="659" ht="22.5" customHeight="1">
      <c r="A659" s="11">
        <v>46304.99091940973</v>
      </c>
      <c r="H659" s="12">
        <v>5.0</v>
      </c>
      <c r="I659" s="12">
        <v>4.0</v>
      </c>
      <c r="J659" s="12">
        <v>5.0</v>
      </c>
      <c r="K659" s="12">
        <v>5.0</v>
      </c>
      <c r="L659" s="12">
        <v>5.0</v>
      </c>
      <c r="M659" s="12">
        <v>5.0</v>
      </c>
      <c r="N659" s="12">
        <v>5.0</v>
      </c>
      <c r="O659" s="12">
        <v>5.0</v>
      </c>
      <c r="P659" s="12">
        <v>8.0</v>
      </c>
      <c r="Q659" s="12" t="s">
        <v>647</v>
      </c>
      <c r="R659" s="12" t="s">
        <v>648</v>
      </c>
      <c r="T659" s="15">
        <v>0.0</v>
      </c>
      <c r="V659" s="12" t="s">
        <v>649</v>
      </c>
    </row>
    <row r="660" ht="22.5" customHeight="1">
      <c r="A660" s="11">
        <v>46305.19494634259</v>
      </c>
      <c r="H660" s="12">
        <v>5.0</v>
      </c>
      <c r="I660" s="12">
        <v>5.0</v>
      </c>
      <c r="J660" s="12">
        <v>5.0</v>
      </c>
      <c r="K660" s="12">
        <v>5.0</v>
      </c>
      <c r="L660" s="12">
        <v>5.0</v>
      </c>
      <c r="M660" s="12">
        <v>5.0</v>
      </c>
      <c r="N660" s="12">
        <v>5.0</v>
      </c>
      <c r="O660" s="12">
        <v>5.0</v>
      </c>
      <c r="P660" s="12">
        <v>10.0</v>
      </c>
      <c r="Q660" s="12" t="s">
        <v>41</v>
      </c>
      <c r="R660" s="12" t="s">
        <v>41</v>
      </c>
      <c r="T660" s="15">
        <v>0.0</v>
      </c>
      <c r="V660" s="12" t="s">
        <v>650</v>
      </c>
    </row>
    <row r="661" ht="22.5" customHeight="1">
      <c r="A661" s="11">
        <v>46305.33880618056</v>
      </c>
      <c r="H661" s="12">
        <v>5.0</v>
      </c>
      <c r="I661" s="12">
        <v>4.0</v>
      </c>
      <c r="J661" s="12">
        <v>5.0</v>
      </c>
      <c r="K661" s="12">
        <v>5.0</v>
      </c>
      <c r="L661" s="12">
        <v>5.0</v>
      </c>
      <c r="M661" s="12">
        <v>5.0</v>
      </c>
      <c r="N661" s="12">
        <v>4.0</v>
      </c>
      <c r="O661" s="12">
        <v>4.0</v>
      </c>
      <c r="P661" s="12">
        <v>10.0</v>
      </c>
      <c r="T661" s="15">
        <v>0.0</v>
      </c>
      <c r="U661" s="12">
        <v>4.0</v>
      </c>
      <c r="V661" s="12" t="s">
        <v>651</v>
      </c>
    </row>
    <row r="662" ht="22.5" customHeight="1">
      <c r="A662" s="11">
        <v>46305.34008929398</v>
      </c>
      <c r="H662" s="12">
        <v>5.0</v>
      </c>
      <c r="I662" s="12">
        <v>4.0</v>
      </c>
      <c r="J662" s="12">
        <v>5.0</v>
      </c>
      <c r="K662" s="12">
        <v>5.0</v>
      </c>
      <c r="L662" s="12">
        <v>5.0</v>
      </c>
      <c r="M662" s="12">
        <v>5.0</v>
      </c>
      <c r="N662" s="12">
        <v>5.0</v>
      </c>
      <c r="O662" s="12">
        <v>5.0</v>
      </c>
      <c r="P662" s="12">
        <v>10.0</v>
      </c>
      <c r="T662" s="15">
        <v>0.0</v>
      </c>
      <c r="V662" s="12" t="s">
        <v>652</v>
      </c>
    </row>
    <row r="663" ht="22.5" customHeight="1">
      <c r="A663" s="11">
        <v>46305.344536793986</v>
      </c>
      <c r="H663" s="12">
        <v>5.0</v>
      </c>
      <c r="I663" s="12">
        <v>5.0</v>
      </c>
      <c r="J663" s="12">
        <v>5.0</v>
      </c>
      <c r="K663" s="12">
        <v>5.0</v>
      </c>
      <c r="L663" s="12">
        <v>5.0</v>
      </c>
      <c r="M663" s="12">
        <v>5.0</v>
      </c>
      <c r="N663" s="12">
        <v>5.0</v>
      </c>
      <c r="O663" s="12">
        <v>5.0</v>
      </c>
      <c r="P663" s="12">
        <v>10.0</v>
      </c>
      <c r="Q663" s="12" t="s">
        <v>653</v>
      </c>
      <c r="R663" s="12" t="s">
        <v>654</v>
      </c>
      <c r="T663" s="15">
        <v>0.0</v>
      </c>
      <c r="U663" s="12">
        <v>3.0</v>
      </c>
      <c r="V663" s="12" t="s">
        <v>655</v>
      </c>
    </row>
    <row r="664" ht="22.5" customHeight="1">
      <c r="A664" s="11">
        <v>46305.363291828704</v>
      </c>
      <c r="H664" s="12">
        <v>1.0</v>
      </c>
      <c r="I664" s="12">
        <v>1.0</v>
      </c>
      <c r="J664" s="12">
        <v>1.0</v>
      </c>
      <c r="K664" s="12">
        <v>1.0</v>
      </c>
      <c r="L664" s="12">
        <v>1.0</v>
      </c>
      <c r="M664" s="12">
        <v>1.0</v>
      </c>
      <c r="N664" s="12">
        <v>1.0</v>
      </c>
      <c r="O664" s="12">
        <v>1.0</v>
      </c>
      <c r="P664" s="12">
        <v>1.0</v>
      </c>
      <c r="Q664" s="12" t="s">
        <v>656</v>
      </c>
      <c r="R664" s="12" t="s">
        <v>657</v>
      </c>
      <c r="T664" s="15">
        <v>0.0</v>
      </c>
      <c r="V664" s="12" t="s">
        <v>658</v>
      </c>
    </row>
    <row r="665" ht="22.5" customHeight="1">
      <c r="A665" s="11">
        <v>46305.36431809027</v>
      </c>
      <c r="H665" s="12">
        <v>5.0</v>
      </c>
      <c r="I665" s="12">
        <v>5.0</v>
      </c>
      <c r="J665" s="12">
        <v>5.0</v>
      </c>
      <c r="K665" s="12">
        <v>5.0</v>
      </c>
      <c r="L665" s="12">
        <v>3.0</v>
      </c>
      <c r="M665" s="12">
        <v>5.0</v>
      </c>
      <c r="N665" s="12">
        <v>5.0</v>
      </c>
      <c r="O665" s="12">
        <v>5.0</v>
      </c>
      <c r="P665" s="12">
        <v>8.0</v>
      </c>
      <c r="Q665" s="12" t="s">
        <v>79</v>
      </c>
      <c r="R665" s="12" t="s">
        <v>179</v>
      </c>
      <c r="T665" s="15">
        <v>0.0</v>
      </c>
      <c r="U665" s="12">
        <v>5.0</v>
      </c>
      <c r="V665" s="12" t="s">
        <v>659</v>
      </c>
    </row>
    <row r="666" ht="22.5" customHeight="1">
      <c r="A666" s="11">
        <v>46305.36521609954</v>
      </c>
      <c r="H666" s="12">
        <v>4.0</v>
      </c>
      <c r="I666" s="12">
        <v>4.0</v>
      </c>
      <c r="J666" s="12">
        <v>5.0</v>
      </c>
      <c r="K666" s="12">
        <v>5.0</v>
      </c>
      <c r="L666" s="12">
        <v>4.0</v>
      </c>
      <c r="M666" s="12">
        <v>5.0</v>
      </c>
      <c r="N666" s="12">
        <v>5.0</v>
      </c>
      <c r="O666" s="12">
        <v>4.0</v>
      </c>
      <c r="P666" s="12">
        <v>9.0</v>
      </c>
      <c r="T666" s="15">
        <v>0.0</v>
      </c>
      <c r="U666" s="12">
        <v>5.0</v>
      </c>
      <c r="V666" s="12" t="s">
        <v>660</v>
      </c>
    </row>
    <row r="667" ht="22.5" customHeight="1">
      <c r="A667" s="11">
        <v>46305.36604641203</v>
      </c>
      <c r="H667" s="12">
        <v>4.0</v>
      </c>
      <c r="I667" s="12">
        <v>5.0</v>
      </c>
      <c r="J667" s="12">
        <v>5.0</v>
      </c>
      <c r="K667" s="12">
        <v>4.0</v>
      </c>
      <c r="L667" s="12">
        <v>4.0</v>
      </c>
      <c r="M667" s="12">
        <v>4.0</v>
      </c>
      <c r="N667" s="12">
        <v>4.0</v>
      </c>
      <c r="O667" s="12">
        <v>5.0</v>
      </c>
      <c r="P667" s="12">
        <v>8.0</v>
      </c>
      <c r="Q667" s="12" t="s">
        <v>661</v>
      </c>
      <c r="R667" s="12" t="s">
        <v>662</v>
      </c>
      <c r="T667" s="15">
        <v>0.0</v>
      </c>
      <c r="U667" s="12">
        <v>1.0</v>
      </c>
      <c r="V667" s="12" t="s">
        <v>663</v>
      </c>
    </row>
    <row r="668" ht="22.5" customHeight="1">
      <c r="A668" s="11">
        <v>46305.3684756713</v>
      </c>
      <c r="H668" s="12">
        <v>5.0</v>
      </c>
      <c r="I668" s="12">
        <v>2.0</v>
      </c>
      <c r="J668" s="12">
        <v>5.0</v>
      </c>
      <c r="K668" s="12">
        <v>5.0</v>
      </c>
      <c r="L668" s="12">
        <v>5.0</v>
      </c>
      <c r="M668" s="12">
        <v>5.0</v>
      </c>
      <c r="N668" s="12">
        <v>5.0</v>
      </c>
      <c r="O668" s="12">
        <v>5.0</v>
      </c>
      <c r="P668" s="12">
        <v>10.0</v>
      </c>
      <c r="T668" s="15">
        <v>0.0</v>
      </c>
      <c r="U668" s="12">
        <v>5.0</v>
      </c>
      <c r="V668" s="12" t="s">
        <v>664</v>
      </c>
    </row>
    <row r="669" ht="22.5" customHeight="1">
      <c r="A669" s="11">
        <v>46305.37591695602</v>
      </c>
      <c r="H669" s="12">
        <v>4.0</v>
      </c>
      <c r="I669" s="12">
        <v>4.0</v>
      </c>
      <c r="J669" s="12">
        <v>4.0</v>
      </c>
      <c r="K669" s="12">
        <v>4.0</v>
      </c>
      <c r="L669" s="12">
        <v>4.0</v>
      </c>
      <c r="M669" s="12">
        <v>4.0</v>
      </c>
      <c r="N669" s="12">
        <v>4.0</v>
      </c>
      <c r="O669" s="12">
        <v>4.0</v>
      </c>
      <c r="P669" s="12">
        <v>8.0</v>
      </c>
      <c r="T669" s="15">
        <v>0.0</v>
      </c>
      <c r="U669" s="12">
        <v>3.0</v>
      </c>
      <c r="V669" s="12" t="s">
        <v>665</v>
      </c>
    </row>
    <row r="670" ht="22.5" customHeight="1">
      <c r="A670" s="11">
        <v>46305.37985842593</v>
      </c>
      <c r="H670" s="12">
        <v>4.0</v>
      </c>
      <c r="I670" s="12">
        <v>2.0</v>
      </c>
      <c r="J670" s="12">
        <v>3.0</v>
      </c>
      <c r="K670" s="12">
        <v>4.0</v>
      </c>
      <c r="L670" s="12">
        <v>1.0</v>
      </c>
      <c r="M670" s="12">
        <v>3.0</v>
      </c>
      <c r="N670" s="12">
        <v>4.0</v>
      </c>
      <c r="O670" s="12">
        <v>4.0</v>
      </c>
      <c r="P670" s="12">
        <v>7.0</v>
      </c>
      <c r="T670" s="15">
        <v>0.0</v>
      </c>
      <c r="U670" s="12">
        <v>1.0</v>
      </c>
      <c r="V670" s="12" t="s">
        <v>666</v>
      </c>
    </row>
    <row r="671" ht="22.5" customHeight="1">
      <c r="A671" s="11">
        <v>46305.39333548611</v>
      </c>
      <c r="H671" s="12">
        <v>5.0</v>
      </c>
      <c r="I671" s="12">
        <v>5.0</v>
      </c>
      <c r="J671" s="12">
        <v>5.0</v>
      </c>
      <c r="K671" s="12">
        <v>5.0</v>
      </c>
      <c r="L671" s="12">
        <v>5.0</v>
      </c>
      <c r="M671" s="12">
        <v>5.0</v>
      </c>
      <c r="N671" s="12">
        <v>5.0</v>
      </c>
      <c r="O671" s="12">
        <v>5.0</v>
      </c>
      <c r="P671" s="12">
        <v>8.0</v>
      </c>
      <c r="Q671" s="12" t="s">
        <v>667</v>
      </c>
      <c r="R671" s="12" t="s">
        <v>37</v>
      </c>
      <c r="T671" s="15">
        <v>0.0</v>
      </c>
      <c r="U671" s="12">
        <v>5.0</v>
      </c>
      <c r="V671" s="12" t="s">
        <v>668</v>
      </c>
    </row>
    <row r="672" ht="22.5" customHeight="1">
      <c r="A672" s="11">
        <v>46305.399980277776</v>
      </c>
      <c r="H672" s="12">
        <v>5.0</v>
      </c>
      <c r="I672" s="12">
        <v>5.0</v>
      </c>
      <c r="J672" s="12">
        <v>5.0</v>
      </c>
      <c r="L672" s="12">
        <v>5.0</v>
      </c>
      <c r="M672" s="12">
        <v>5.0</v>
      </c>
      <c r="N672" s="12">
        <v>5.0</v>
      </c>
      <c r="O672" s="12">
        <v>5.0</v>
      </c>
      <c r="P672" s="12">
        <v>9.0</v>
      </c>
      <c r="Q672" s="12" t="s">
        <v>328</v>
      </c>
      <c r="R672" s="12" t="s">
        <v>66</v>
      </c>
      <c r="T672" s="15">
        <v>0.0</v>
      </c>
      <c r="U672" s="12">
        <v>5.0</v>
      </c>
      <c r="V672" s="12" t="s">
        <v>668</v>
      </c>
    </row>
    <row r="673" ht="22.5" customHeight="1">
      <c r="A673" s="11">
        <v>46305.45295196759</v>
      </c>
      <c r="H673" s="12">
        <v>4.0</v>
      </c>
      <c r="I673" s="12">
        <v>4.0</v>
      </c>
      <c r="J673" s="12">
        <v>5.0</v>
      </c>
      <c r="K673" s="12">
        <v>4.0</v>
      </c>
      <c r="L673" s="12">
        <v>4.0</v>
      </c>
      <c r="M673" s="12">
        <v>5.0</v>
      </c>
      <c r="N673" s="12">
        <v>5.0</v>
      </c>
      <c r="O673" s="12">
        <v>4.0</v>
      </c>
      <c r="P673" s="12">
        <v>8.0</v>
      </c>
      <c r="Q673" s="12" t="s">
        <v>669</v>
      </c>
      <c r="R673" s="12" t="s">
        <v>670</v>
      </c>
      <c r="T673" s="15">
        <v>0.0</v>
      </c>
      <c r="V673" s="12" t="s">
        <v>671</v>
      </c>
    </row>
    <row r="674" ht="22.5" customHeight="1">
      <c r="A674" s="11">
        <v>46305.453890000004</v>
      </c>
      <c r="H674" s="12">
        <v>5.0</v>
      </c>
      <c r="I674" s="12">
        <v>5.0</v>
      </c>
      <c r="J674" s="12">
        <v>4.0</v>
      </c>
      <c r="K674" s="12">
        <v>4.0</v>
      </c>
      <c r="L674" s="12">
        <v>5.0</v>
      </c>
      <c r="M674" s="12">
        <v>5.0</v>
      </c>
      <c r="N674" s="12">
        <v>4.0</v>
      </c>
      <c r="O674" s="12">
        <v>4.0</v>
      </c>
      <c r="P674" s="12">
        <v>9.0</v>
      </c>
      <c r="Q674" s="12" t="s">
        <v>669</v>
      </c>
      <c r="R674" s="12" t="s">
        <v>672</v>
      </c>
      <c r="T674" s="15">
        <v>0.0</v>
      </c>
      <c r="U674" s="12">
        <v>5.0</v>
      </c>
      <c r="V674" s="12" t="s">
        <v>671</v>
      </c>
    </row>
    <row r="675" ht="22.5" customHeight="1">
      <c r="A675" s="11">
        <v>46306.6727669213</v>
      </c>
      <c r="H675" s="12">
        <v>2.0</v>
      </c>
      <c r="I675" s="12">
        <v>4.0</v>
      </c>
      <c r="J675" s="12">
        <v>3.0</v>
      </c>
      <c r="K675" s="12">
        <v>3.0</v>
      </c>
      <c r="L675" s="12">
        <v>4.0</v>
      </c>
      <c r="M675" s="12">
        <v>4.0</v>
      </c>
      <c r="N675" s="12">
        <v>4.0</v>
      </c>
      <c r="O675" s="12">
        <v>5.0</v>
      </c>
      <c r="P675" s="12">
        <v>8.0</v>
      </c>
      <c r="T675" s="15">
        <v>0.0</v>
      </c>
      <c r="U675" s="12">
        <v>5.0</v>
      </c>
      <c r="V675" s="12" t="s">
        <v>673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IFERROR(__xludf.DUMMYFUNCTION("FILTER({'Form Responses 1'!A2:A684, 'Form Responses 1'!Q2:Q684, 'Form Responses 1'!R2:R684}, ('Form Responses 1'!Q2:Q684 &lt;&gt; """") + ('Form Responses 1'!R2:R684 &lt;&gt; """"))"),45944.596049479165)</f>
        <v>45944.59605</v>
      </c>
      <c r="B1" s="2" t="str">
        <f>IFERROR(__xludf.DUMMYFUNCTION("""COMPUTED_VALUE"""),"Maintain the good service. ")</f>
        <v>Maintain the good service. </v>
      </c>
      <c r="C1" s="2" t="str">
        <f>IFERROR(__xludf.DUMMYFUNCTION("""COMPUTED_VALUE"""),"Provide the best services. ")</f>
        <v>Provide the best services. </v>
      </c>
    </row>
    <row r="2">
      <c r="A2" s="3">
        <f>IFERROR(__xludf.DUMMYFUNCTION("""COMPUTED_VALUE"""),45987.58397172454)</f>
        <v>45987.58397</v>
      </c>
      <c r="B2" s="2" t="str">
        <f>IFERROR(__xludf.DUMMYFUNCTION("""COMPUTED_VALUE"""),"Na")</f>
        <v>Na</v>
      </c>
      <c r="C2" s="2" t="str">
        <f>IFERROR(__xludf.DUMMYFUNCTION("""COMPUTED_VALUE"""),"Na")</f>
        <v>Na</v>
      </c>
    </row>
    <row r="3">
      <c r="A3" s="3">
        <f>IFERROR(__xludf.DUMMYFUNCTION("""COMPUTED_VALUE"""),46045.39378975694)</f>
        <v>46045.39379</v>
      </c>
      <c r="B3" s="2" t="str">
        <f>IFERROR(__xludf.DUMMYFUNCTION("""COMPUTED_VALUE"""),"nothing")</f>
        <v>nothing</v>
      </c>
      <c r="C3" s="2" t="str">
        <f>IFERROR(__xludf.DUMMYFUNCTION("""COMPUTED_VALUE"""),"none")</f>
        <v>none</v>
      </c>
    </row>
    <row r="4">
      <c r="A4" s="3">
        <f>IFERROR(__xludf.DUMMYFUNCTION("""COMPUTED_VALUE"""),46069.57929927083)</f>
        <v>46069.5793</v>
      </c>
      <c r="B4" s="2" t="str">
        <f>IFERROR(__xludf.DUMMYFUNCTION("""COMPUTED_VALUE"""),"N/A")</f>
        <v>N/A</v>
      </c>
      <c r="C4" s="2" t="str">
        <f>IFERROR(__xludf.DUMMYFUNCTION("""COMPUTED_VALUE"""),"N/A")</f>
        <v>N/A</v>
      </c>
    </row>
    <row r="5">
      <c r="A5" s="3">
        <f>IFERROR(__xludf.DUMMYFUNCTION("""COMPUTED_VALUE"""),46069.62213231482)</f>
        <v>46069.62213</v>
      </c>
      <c r="B5" s="2" t="str">
        <f>IFERROR(__xludf.DUMMYFUNCTION("""COMPUTED_VALUE"""),"Good")</f>
        <v>Good</v>
      </c>
      <c r="C5" s="2" t="str">
        <f>IFERROR(__xludf.DUMMYFUNCTION("""COMPUTED_VALUE"""),"Be paitient")</f>
        <v>Be paitient</v>
      </c>
    </row>
    <row r="6">
      <c r="A6" s="3">
        <f>IFERROR(__xludf.DUMMYFUNCTION("""COMPUTED_VALUE"""),46069.640751099534)</f>
        <v>46069.64075</v>
      </c>
      <c r="B6" s="2" t="str">
        <f>IFERROR(__xludf.DUMMYFUNCTION("""COMPUTED_VALUE"""),"nuetral")</f>
        <v>nuetral</v>
      </c>
      <c r="C6" s="2" t="str">
        <f>IFERROR(__xludf.DUMMYFUNCTION("""COMPUTED_VALUE"""),"more paitient")</f>
        <v>more paitient</v>
      </c>
    </row>
    <row r="7">
      <c r="A7" s="3">
        <f>IFERROR(__xludf.DUMMYFUNCTION("""COMPUTED_VALUE"""),46069.75136458334)</f>
        <v>46069.75136</v>
      </c>
      <c r="B7" s="2" t="str">
        <f>IFERROR(__xludf.DUMMYFUNCTION("""COMPUTED_VALUE"""),"The NSTP Office provides organized and helpful services to students. They assist in processing important documents such as NSTP serial numbers and grade requests. The staff are generally approachable and willing to answer questions regarding NSTP requirem"&amp;"ents and concerns. Their services help students complete academic and graduation requirements smoothly.
")</f>
        <v>The NSTP Office provides organized and helpful services to students. They assist in processing important documents such as NSTP serial numbers and grade requests. The staff are generally approachable and willing to answer questions regarding NSTP requirements and concerns. Their services help students complete academic and graduation requirements smoothly.
</v>
      </c>
      <c r="C7" s="2" t="str">
        <f>IFERROR(__xludf.DUMMYFUNCTION("""COMPUTED_VALUE"""),"Provide faster processing time for requests.")</f>
        <v>Provide faster processing time for requests.</v>
      </c>
    </row>
    <row r="8">
      <c r="A8" s="3">
        <f>IFERROR(__xludf.DUMMYFUNCTION("""COMPUTED_VALUE"""),46069.75778086805)</f>
        <v>46069.75778</v>
      </c>
      <c r="B8" s="2" t="str">
        <f>IFERROR(__xludf.DUMMYFUNCTION("""COMPUTED_VALUE"""),"It was fast")</f>
        <v>It was fast</v>
      </c>
      <c r="C8" s="2" t="str">
        <f>IFERROR(__xludf.DUMMYFUNCTION("""COMPUTED_VALUE"""),"none")</f>
        <v>none</v>
      </c>
    </row>
    <row r="9">
      <c r="A9" s="3">
        <f>IFERROR(__xludf.DUMMYFUNCTION("""COMPUTED_VALUE"""),46070.884108171296)</f>
        <v>46070.88411</v>
      </c>
      <c r="B9" s="2" t="str">
        <f>IFERROR(__xludf.DUMMYFUNCTION("""COMPUTED_VALUE"""),"The services provided by the office are organized and helpful. The staff are approachable and assist students well")</f>
        <v>The services provided by the office are organized and helpful. The staff are approachable and assist students well</v>
      </c>
      <c r="C9" s="2" t="str">
        <f>IFERROR(__xludf.DUMMYFUNCTION("""COMPUTED_VALUE"""),"They could improve customer experience by reducing waiting time. Providing clearer instructions or information would also help clients.")</f>
        <v>They could improve customer experience by reducing waiting time. Providing clearer instructions or information would also help clients.</v>
      </c>
    </row>
    <row r="10">
      <c r="A10" s="3">
        <f>IFERROR(__xludf.DUMMYFUNCTION("""COMPUTED_VALUE"""),46070.888025416665)</f>
        <v>46070.88803</v>
      </c>
      <c r="B10" s="2" t="str">
        <f>IFERROR(__xludf.DUMMYFUNCTION("""COMPUTED_VALUE"""),"N/A")</f>
        <v>N/A</v>
      </c>
      <c r="C10" s="2" t="str">
        <f>IFERROR(__xludf.DUMMYFUNCTION("""COMPUTED_VALUE"""),"N/A")</f>
        <v>N/A</v>
      </c>
    </row>
    <row r="11">
      <c r="A11" s="3">
        <f>IFERROR(__xludf.DUMMYFUNCTION("""COMPUTED_VALUE"""),46070.88828864583)</f>
        <v>46070.88829</v>
      </c>
      <c r="B11" s="2" t="str">
        <f>IFERROR(__xludf.DUMMYFUNCTION("""COMPUTED_VALUE"""),"Nothing, they are quite good and very efficient ^^!")</f>
        <v>Nothing, they are quite good and very efficient ^^!</v>
      </c>
      <c r="C11" s="2" t="str">
        <f>IFERROR(__xludf.DUMMYFUNCTION("""COMPUTED_VALUE"""),"They’re good!!")</f>
        <v>They’re good!!</v>
      </c>
    </row>
    <row r="12">
      <c r="A12" s="3">
        <f>IFERROR(__xludf.DUMMYFUNCTION("""COMPUTED_VALUE"""),46070.88919290509)</f>
        <v>46070.88919</v>
      </c>
      <c r="B12" s="2" t="str">
        <f>IFERROR(__xludf.DUMMYFUNCTION("""COMPUTED_VALUE"""),"Good")</f>
        <v>Good</v>
      </c>
      <c r="C12" s="2" t="str">
        <f>IFERROR(__xludf.DUMMYFUNCTION("""COMPUTED_VALUE"""),"Nothing")</f>
        <v>Nothing</v>
      </c>
    </row>
    <row r="13">
      <c r="A13" s="3">
        <f>IFERROR(__xludf.DUMMYFUNCTION("""COMPUTED_VALUE"""),46070.89536663194)</f>
        <v>46070.89537</v>
      </c>
      <c r="B13" s="2" t="str">
        <f>IFERROR(__xludf.DUMMYFUNCTION("""COMPUTED_VALUE"""),"It was good")</f>
        <v>It was good</v>
      </c>
      <c r="C13" s="2"/>
    </row>
    <row r="14">
      <c r="A14" s="3">
        <f>IFERROR(__xludf.DUMMYFUNCTION("""COMPUTED_VALUE"""),46070.89794896991)</f>
        <v>46070.89795</v>
      </c>
      <c r="B14" s="2" t="str">
        <f>IFERROR(__xludf.DUMMYFUNCTION("""COMPUTED_VALUE"""),"None")</f>
        <v>None</v>
      </c>
      <c r="C14" s="2" t="str">
        <f>IFERROR(__xludf.DUMMYFUNCTION("""COMPUTED_VALUE"""),"None")</f>
        <v>None</v>
      </c>
    </row>
    <row r="15">
      <c r="A15" s="3">
        <f>IFERROR(__xludf.DUMMYFUNCTION("""COMPUTED_VALUE"""),46070.89815946759)</f>
        <v>46070.89816</v>
      </c>
      <c r="B15" s="2" t="str">
        <f>IFERROR(__xludf.DUMMYFUNCTION("""COMPUTED_VALUE"""),"Good")</f>
        <v>Good</v>
      </c>
      <c r="C15" s="2" t="str">
        <f>IFERROR(__xludf.DUMMYFUNCTION("""COMPUTED_VALUE"""),"None")</f>
        <v>None</v>
      </c>
    </row>
    <row r="16">
      <c r="A16" s="3">
        <f>IFERROR(__xludf.DUMMYFUNCTION("""COMPUTED_VALUE"""),46071.35523274305)</f>
        <v>46071.35523</v>
      </c>
      <c r="B16" s="2" t="str">
        <f>IFERROR(__xludf.DUMMYFUNCTION("""COMPUTED_VALUE"""),"none")</f>
        <v>none</v>
      </c>
      <c r="C16" s="2" t="str">
        <f>IFERROR(__xludf.DUMMYFUNCTION("""COMPUTED_VALUE"""),"none")</f>
        <v>none</v>
      </c>
    </row>
    <row r="17">
      <c r="A17" s="3">
        <f>IFERROR(__xludf.DUMMYFUNCTION("""COMPUTED_VALUE"""),46071.450125787036)</f>
        <v>46071.45013</v>
      </c>
      <c r="B17" s="2" t="str">
        <f>IFERROR(__xludf.DUMMYFUNCTION("""COMPUTED_VALUE"""),"The staff is friendly and quick.")</f>
        <v>The staff is friendly and quick.</v>
      </c>
      <c r="C17" s="2"/>
    </row>
    <row r="18">
      <c r="A18" s="3">
        <f>IFERROR(__xludf.DUMMYFUNCTION("""COMPUTED_VALUE"""),46071.45026063657)</f>
        <v>46071.45026</v>
      </c>
      <c r="B18" s="2" t="str">
        <f>IFERROR(__xludf.DUMMYFUNCTION("""COMPUTED_VALUE"""),"NONE")</f>
        <v>NONE</v>
      </c>
      <c r="C18" s="2" t="str">
        <f>IFERROR(__xludf.DUMMYFUNCTION("""COMPUTED_VALUE"""),"NONE")</f>
        <v>NONE</v>
      </c>
    </row>
    <row r="19">
      <c r="A19" s="3">
        <f>IFERROR(__xludf.DUMMYFUNCTION("""COMPUTED_VALUE"""),46071.45078997685)</f>
        <v>46071.45079</v>
      </c>
      <c r="B19" s="2" t="str">
        <f>IFERROR(__xludf.DUMMYFUNCTION("""COMPUTED_VALUE"""),"Nice")</f>
        <v>Nice</v>
      </c>
      <c r="C19" s="2" t="str">
        <f>IFERROR(__xludf.DUMMYFUNCTION("""COMPUTED_VALUE"""),"none
")</f>
        <v>none
</v>
      </c>
    </row>
    <row r="20">
      <c r="A20" s="3">
        <f>IFERROR(__xludf.DUMMYFUNCTION("""COMPUTED_VALUE"""),46071.45566761574)</f>
        <v>46071.45567</v>
      </c>
      <c r="B20" s="2" t="str">
        <f>IFERROR(__xludf.DUMMYFUNCTION("""COMPUTED_VALUE"""),"Please inform your student at a time for their classes ")</f>
        <v>Please inform your student at a time for their classes </v>
      </c>
      <c r="C20" s="2" t="str">
        <f>IFERROR(__xludf.DUMMYFUNCTION("""COMPUTED_VALUE"""),"Create a new window to easy transac information, because it's hard to find the door or window before you transac, their is no proper place where they can transac ")</f>
        <v>Create a new window to easy transac information, because it's hard to find the door or window before you transac, their is no proper place where they can transac </v>
      </c>
    </row>
    <row r="21">
      <c r="A21" s="3">
        <f>IFERROR(__xludf.DUMMYFUNCTION("""COMPUTED_VALUE"""),46071.45935682871)</f>
        <v>46071.45936</v>
      </c>
      <c r="B21" s="2" t="str">
        <f>IFERROR(__xludf.DUMMYFUNCTION("""COMPUTED_VALUE"""),"good")</f>
        <v>good</v>
      </c>
      <c r="C21" s="2" t="str">
        <f>IFERROR(__xludf.DUMMYFUNCTION("""COMPUTED_VALUE"""),"none, all goods")</f>
        <v>none, all goods</v>
      </c>
    </row>
    <row r="22">
      <c r="A22" s="3">
        <f>IFERROR(__xludf.DUMMYFUNCTION("""COMPUTED_VALUE"""),46071.46293537037)</f>
        <v>46071.46294</v>
      </c>
      <c r="B22" s="2" t="str">
        <f>IFERROR(__xludf.DUMMYFUNCTION("""COMPUTED_VALUE"""),"Excellent service ")</f>
        <v>Excellent service </v>
      </c>
      <c r="C22" s="2" t="str">
        <f>IFERROR(__xludf.DUMMYFUNCTION("""COMPUTED_VALUE"""),"None")</f>
        <v>None</v>
      </c>
    </row>
    <row r="23">
      <c r="A23" s="3">
        <f>IFERROR(__xludf.DUMMYFUNCTION("""COMPUTED_VALUE"""),46071.464627719906)</f>
        <v>46071.46463</v>
      </c>
      <c r="B23" s="2" t="str">
        <f>IFERROR(__xludf.DUMMYFUNCTION("""COMPUTED_VALUE"""),"Its good ")</f>
        <v>Its good </v>
      </c>
      <c r="C23" s="2" t="str">
        <f>IFERROR(__xludf.DUMMYFUNCTION("""COMPUTED_VALUE"""),"Stuff ")</f>
        <v>Stuff </v>
      </c>
    </row>
    <row r="24">
      <c r="A24" s="3">
        <f>IFERROR(__xludf.DUMMYFUNCTION("""COMPUTED_VALUE"""),46071.47561620371)</f>
        <v>46071.47562</v>
      </c>
      <c r="B24" s="2" t="str">
        <f>IFERROR(__xludf.DUMMYFUNCTION("""COMPUTED_VALUE"""),"N/A")</f>
        <v>N/A</v>
      </c>
      <c r="C24" s="2" t="str">
        <f>IFERROR(__xludf.DUMMYFUNCTION("""COMPUTED_VALUE"""),"N/A")</f>
        <v>N/A</v>
      </c>
    </row>
    <row r="25">
      <c r="A25" s="3">
        <f>IFERROR(__xludf.DUMMYFUNCTION("""COMPUTED_VALUE"""),46072.65663224537)</f>
        <v>46072.65663</v>
      </c>
      <c r="B25" s="2" t="str">
        <f>IFERROR(__xludf.DUMMYFUNCTION("""COMPUTED_VALUE"""),"Good")</f>
        <v>Good</v>
      </c>
      <c r="C25" s="2"/>
    </row>
    <row r="26">
      <c r="A26" s="3">
        <f>IFERROR(__xludf.DUMMYFUNCTION("""COMPUTED_VALUE"""),46072.656834629626)</f>
        <v>46072.65683</v>
      </c>
      <c r="B26" s="2" t="str">
        <f>IFERROR(__xludf.DUMMYFUNCTION("""COMPUTED_VALUE"""),"Nothing")</f>
        <v>Nothing</v>
      </c>
      <c r="C26" s="2"/>
    </row>
    <row r="27">
      <c r="A27" s="3">
        <f>IFERROR(__xludf.DUMMYFUNCTION("""COMPUTED_VALUE"""),46093.387517696756)</f>
        <v>46093.38752</v>
      </c>
      <c r="B27" s="2" t="str">
        <f>IFERROR(__xludf.DUMMYFUNCTION("""COMPUTED_VALUE"""),"good")</f>
        <v>good</v>
      </c>
      <c r="C27" s="2" t="str">
        <f>IFERROR(__xludf.DUMMYFUNCTION("""COMPUTED_VALUE"""),"nothing")</f>
        <v>nothing</v>
      </c>
    </row>
    <row r="28">
      <c r="A28" s="3">
        <f>IFERROR(__xludf.DUMMYFUNCTION("""COMPUTED_VALUE"""),46098.502908587965)</f>
        <v>46098.50291</v>
      </c>
      <c r="B28" s="2" t="str">
        <f>IFERROR(__xludf.DUMMYFUNCTION("""COMPUTED_VALUE"""),"Very prompt and accommodating ")</f>
        <v>Very prompt and accommodating </v>
      </c>
      <c r="C28" s="2" t="str">
        <f>IFERROR(__xludf.DUMMYFUNCTION("""COMPUTED_VALUE"""),"Keep up the good work")</f>
        <v>Keep up the good work</v>
      </c>
    </row>
    <row r="29">
      <c r="A29" s="3">
        <f>IFERROR(__xludf.DUMMYFUNCTION("""COMPUTED_VALUE"""),46098.69465052083)</f>
        <v>46098.69465</v>
      </c>
      <c r="B29" s="2" t="str">
        <f>IFERROR(__xludf.DUMMYFUNCTION("""COMPUTED_VALUE"""),"The transaction was fast")</f>
        <v>The transaction was fast</v>
      </c>
      <c r="C29" s="2" t="str">
        <f>IFERROR(__xludf.DUMMYFUNCTION("""COMPUTED_VALUE"""),"None")</f>
        <v>None</v>
      </c>
    </row>
    <row r="30">
      <c r="A30" s="3">
        <f>IFERROR(__xludf.DUMMYFUNCTION("""COMPUTED_VALUE"""),46142.56213240741)</f>
        <v>46142.56213</v>
      </c>
      <c r="B30" s="2" t="str">
        <f>IFERROR(__xludf.DUMMYFUNCTION("""COMPUTED_VALUE"""),"N/A")</f>
        <v>N/A</v>
      </c>
      <c r="C30" s="2" t="str">
        <f>IFERROR(__xludf.DUMMYFUNCTION("""COMPUTED_VALUE"""),"Please Limit the attitude when someone is inquiring about any projects or questions regarding in the schedule ")</f>
        <v>Please Limit the attitude when someone is inquiring about any projects or questions regarding in the schedule </v>
      </c>
    </row>
    <row r="31">
      <c r="A31" s="3">
        <f>IFERROR(__xludf.DUMMYFUNCTION("""COMPUTED_VALUE"""),46142.56282950232)</f>
        <v>46142.56283</v>
      </c>
      <c r="B31" s="2" t="str">
        <f>IFERROR(__xludf.DUMMYFUNCTION("""COMPUTED_VALUE"""),"Easy and fast ")</f>
        <v>Easy and fast </v>
      </c>
      <c r="C31" s="2" t="str">
        <f>IFERROR(__xludf.DUMMYFUNCTION("""COMPUTED_VALUE"""),"Nothing ")</f>
        <v>Nothing </v>
      </c>
    </row>
    <row r="32">
      <c r="A32" s="3">
        <f>IFERROR(__xludf.DUMMYFUNCTION("""COMPUTED_VALUE"""),46142.56467766204)</f>
        <v>46142.56468</v>
      </c>
      <c r="B32" s="2" t="str">
        <f>IFERROR(__xludf.DUMMYFUNCTION("""COMPUTED_VALUE"""),"Good and they make sure that every student is safe")</f>
        <v>Good and they make sure that every student is safe</v>
      </c>
      <c r="C32" s="2" t="str">
        <f>IFERROR(__xludf.DUMMYFUNCTION("""COMPUTED_VALUE"""),"For NSTP activities outside the school, we need to have a private transportation so that the students can access through every activity ")</f>
        <v>For NSTP activities outside the school, we need to have a private transportation so that the students can access through every activity </v>
      </c>
    </row>
    <row r="33">
      <c r="A33" s="3">
        <f>IFERROR(__xludf.DUMMYFUNCTION("""COMPUTED_VALUE"""),46142.58064288195)</f>
        <v>46142.58064</v>
      </c>
      <c r="B33" s="2" t="str">
        <f>IFERROR(__xludf.DUMMYFUNCTION("""COMPUTED_VALUE"""),"Good")</f>
        <v>Good</v>
      </c>
      <c r="C33" s="2" t="str">
        <f>IFERROR(__xludf.DUMMYFUNCTION("""COMPUTED_VALUE"""),"N|A")</f>
        <v>N|A</v>
      </c>
    </row>
    <row r="34">
      <c r="A34" s="3">
        <f>IFERROR(__xludf.DUMMYFUNCTION("""COMPUTED_VALUE"""),46142.58291438657)</f>
        <v>46142.58291</v>
      </c>
      <c r="B34" s="2" t="str">
        <f>IFERROR(__xludf.DUMMYFUNCTION("""COMPUTED_VALUE"""),"It was good")</f>
        <v>It was good</v>
      </c>
      <c r="C34" s="2" t="str">
        <f>IFERROR(__xludf.DUMMYFUNCTION("""COMPUTED_VALUE"""),"Improve clear and complete announcements ")</f>
        <v>Improve clear and complete announcements </v>
      </c>
    </row>
    <row r="35">
      <c r="A35" s="3">
        <f>IFERROR(__xludf.DUMMYFUNCTION("""COMPUTED_VALUE"""),46142.590204189815)</f>
        <v>46142.5902</v>
      </c>
      <c r="B35" s="2" t="str">
        <f>IFERROR(__xludf.DUMMYFUNCTION("""COMPUTED_VALUE"""),"none")</f>
        <v>none</v>
      </c>
      <c r="C35" s="2" t="str">
        <f>IFERROR(__xludf.DUMMYFUNCTION("""COMPUTED_VALUE"""),"none")</f>
        <v>none</v>
      </c>
    </row>
    <row r="36">
      <c r="A36" s="3">
        <f>IFERROR(__xludf.DUMMYFUNCTION("""COMPUTED_VALUE"""),46142.59062702546)</f>
        <v>46142.59063</v>
      </c>
      <c r="B36" s="2" t="str">
        <f>IFERROR(__xludf.DUMMYFUNCTION("""COMPUTED_VALUE"""),"Fair")</f>
        <v>Fair</v>
      </c>
      <c r="C36" s="2" t="str">
        <f>IFERROR(__xludf.DUMMYFUNCTION("""COMPUTED_VALUE"""),"Clear Instructions")</f>
        <v>Clear Instructions</v>
      </c>
    </row>
    <row r="37">
      <c r="A37" s="3">
        <f>IFERROR(__xludf.DUMMYFUNCTION("""COMPUTED_VALUE"""),46142.591404583334)</f>
        <v>46142.5914</v>
      </c>
      <c r="B37" s="2" t="str">
        <f>IFERROR(__xludf.DUMMYFUNCTION("""COMPUTED_VALUE"""),"Professionally done. ")</f>
        <v>Professionally done. </v>
      </c>
      <c r="C37" s="2" t="str">
        <f>IFERROR(__xludf.DUMMYFUNCTION("""COMPUTED_VALUE"""),"Be transparent with the office hours. ")</f>
        <v>Be transparent with the office hours. </v>
      </c>
    </row>
    <row r="38">
      <c r="A38" s="3">
        <f>IFERROR(__xludf.DUMMYFUNCTION("""COMPUTED_VALUE"""),46142.59228603009)</f>
        <v>46142.59229</v>
      </c>
      <c r="B38" s="2" t="str">
        <f>IFERROR(__xludf.DUMMYFUNCTION("""COMPUTED_VALUE"""),"Professionally managed. ")</f>
        <v>Professionally managed. </v>
      </c>
      <c r="C38" s="2" t="str">
        <f>IFERROR(__xludf.DUMMYFUNCTION("""COMPUTED_VALUE"""),"Be transparent with the office hours. ")</f>
        <v>Be transparent with the office hours. </v>
      </c>
    </row>
    <row r="39">
      <c r="A39" s="3">
        <f>IFERROR(__xludf.DUMMYFUNCTION("""COMPUTED_VALUE"""),46142.60072300926)</f>
        <v>46142.60072</v>
      </c>
      <c r="B39" s="2" t="str">
        <f>IFERROR(__xludf.DUMMYFUNCTION("""COMPUTED_VALUE"""),"Maybe accomodate students more nicely and openly since some of my classmates were not treated as how they expected the office would approach them with their concern. ")</f>
        <v>Maybe accomodate students more nicely and openly since some of my classmates were not treated as how they expected the office would approach them with their concern. </v>
      </c>
      <c r="C39" s="2" t="str">
        <f>IFERROR(__xludf.DUMMYFUNCTION("""COMPUTED_VALUE"""),"Maybe accomodate students more nicely and openly since some of my classmates were not treated as how they expected the office would approach them with their concern. ")</f>
        <v>Maybe accomodate students more nicely and openly since some of my classmates were not treated as how they expected the office would approach them with their concern. </v>
      </c>
    </row>
    <row r="40">
      <c r="A40" s="3">
        <f>IFERROR(__xludf.DUMMYFUNCTION("""COMPUTED_VALUE"""),46142.60529141204)</f>
        <v>46142.60529</v>
      </c>
      <c r="B40" s="2" t="str">
        <f>IFERROR(__xludf.DUMMYFUNCTION("""COMPUTED_VALUE"""),"None ")</f>
        <v>None </v>
      </c>
      <c r="C40" s="2" t="str">
        <f>IFERROR(__xludf.DUMMYFUNCTION("""COMPUTED_VALUE"""),"None ")</f>
        <v>None </v>
      </c>
    </row>
    <row r="41">
      <c r="A41" s="3">
        <f>IFERROR(__xludf.DUMMYFUNCTION("""COMPUTED_VALUE"""),46142.606398310185)</f>
        <v>46142.6064</v>
      </c>
      <c r="B41" s="2" t="str">
        <f>IFERROR(__xludf.DUMMYFUNCTION("""COMPUTED_VALUE"""),"None")</f>
        <v>None</v>
      </c>
      <c r="C41" s="2" t="str">
        <f>IFERROR(__xludf.DUMMYFUNCTION("""COMPUTED_VALUE"""),"None")</f>
        <v>None</v>
      </c>
    </row>
    <row r="42">
      <c r="A42" s="3">
        <f>IFERROR(__xludf.DUMMYFUNCTION("""COMPUTED_VALUE"""),46142.60809846065)</f>
        <v>46142.6081</v>
      </c>
      <c r="B42" s="2" t="str">
        <f>IFERROR(__xludf.DUMMYFUNCTION("""COMPUTED_VALUE"""),"No")</f>
        <v>No</v>
      </c>
      <c r="C42" s="2" t="str">
        <f>IFERROR(__xludf.DUMMYFUNCTION("""COMPUTED_VALUE"""),"Kinakaya Ang bes")</f>
        <v>Kinakaya Ang bes</v>
      </c>
    </row>
    <row r="43">
      <c r="A43" s="3">
        <f>IFERROR(__xludf.DUMMYFUNCTION("""COMPUTED_VALUE"""),46142.61807802084)</f>
        <v>46142.61808</v>
      </c>
      <c r="B43" s="2" t="str">
        <f>IFERROR(__xludf.DUMMYFUNCTION("""COMPUTED_VALUE"""),"it was really good they give students  a good and quality services ")</f>
        <v>it was really good they give students  a good and quality services </v>
      </c>
      <c r="C43" s="2" t="str">
        <f>IFERROR(__xludf.DUMMYFUNCTION("""COMPUTED_VALUE"""),"maybe nothing ")</f>
        <v>maybe nothing </v>
      </c>
    </row>
    <row r="44">
      <c r="A44" s="3">
        <f>IFERROR(__xludf.DUMMYFUNCTION("""COMPUTED_VALUE"""),46142.62044650463)</f>
        <v>46142.62045</v>
      </c>
      <c r="B44" s="2" t="str">
        <f>IFERROR(__xludf.DUMMYFUNCTION("""COMPUTED_VALUE"""),"they provide student a good and quality services ")</f>
        <v>they provide student a good and quality services </v>
      </c>
      <c r="C44" s="2" t="str">
        <f>IFERROR(__xludf.DUMMYFUNCTION("""COMPUTED_VALUE"""),"nothing")</f>
        <v>nothing</v>
      </c>
    </row>
    <row r="45">
      <c r="A45" s="3">
        <f>IFERROR(__xludf.DUMMYFUNCTION("""COMPUTED_VALUE"""),46142.632268773144)</f>
        <v>46142.63227</v>
      </c>
      <c r="B45" s="2" t="str">
        <f>IFERROR(__xludf.DUMMYFUNCTION("""COMPUTED_VALUE"""),"Excellent")</f>
        <v>Excellent</v>
      </c>
      <c r="C45" s="2"/>
    </row>
    <row r="46">
      <c r="A46" s="3">
        <f>IFERROR(__xludf.DUMMYFUNCTION("""COMPUTED_VALUE"""),46142.63374659722)</f>
        <v>46142.63375</v>
      </c>
      <c r="B46" s="2" t="str">
        <f>IFERROR(__xludf.DUMMYFUNCTION("""COMPUTED_VALUE"""),"It's all great service.")</f>
        <v>It's all great service.</v>
      </c>
      <c r="C46" s="2" t="str">
        <f>IFERROR(__xludf.DUMMYFUNCTION("""COMPUTED_VALUE"""),"none")</f>
        <v>none</v>
      </c>
    </row>
    <row r="47">
      <c r="A47" s="3">
        <f>IFERROR(__xludf.DUMMYFUNCTION("""COMPUTED_VALUE"""),46142.640076979165)</f>
        <v>46142.64008</v>
      </c>
      <c r="B47" s="2" t="str">
        <f>IFERROR(__xludf.DUMMYFUNCTION("""COMPUTED_VALUE"""),"N")</f>
        <v>N</v>
      </c>
      <c r="C47" s="2" t="str">
        <f>IFERROR(__xludf.DUMMYFUNCTION("""COMPUTED_VALUE"""),"N")</f>
        <v>N</v>
      </c>
    </row>
    <row r="48">
      <c r="A48" s="3">
        <f>IFERROR(__xludf.DUMMYFUNCTION("""COMPUTED_VALUE"""),46142.650226134254)</f>
        <v>46142.65023</v>
      </c>
      <c r="B48" s="2" t="str">
        <f>IFERROR(__xludf.DUMMYFUNCTION("""COMPUTED_VALUE"""),"Nice and the staffs are kind.")</f>
        <v>Nice and the staffs are kind.</v>
      </c>
      <c r="C48" s="2" t="str">
        <f>IFERROR(__xludf.DUMMYFUNCTION("""COMPUTED_VALUE"""),"The costumers must be patient and understanding.")</f>
        <v>The costumers must be patient and understanding.</v>
      </c>
    </row>
    <row r="49">
      <c r="A49" s="3">
        <f>IFERROR(__xludf.DUMMYFUNCTION("""COMPUTED_VALUE"""),46142.658528796295)</f>
        <v>46142.65853</v>
      </c>
      <c r="B49" s="2" t="str">
        <f>IFERROR(__xludf.DUMMYFUNCTION("""COMPUTED_VALUE"""),"I was greeted with a warm, welcoming attitude that made me feel comfortable and valued.")</f>
        <v>I was greeted with a warm, welcoming attitude that made me feel comfortable and valued.</v>
      </c>
      <c r="C49" s="2" t="str">
        <f>IFERROR(__xludf.DUMMYFUNCTION("""COMPUTED_VALUE"""),"Understanding,compassion, active listening.")</f>
        <v>Understanding,compassion, active listening.</v>
      </c>
    </row>
    <row r="50">
      <c r="A50" s="3">
        <f>IFERROR(__xludf.DUMMYFUNCTION("""COMPUTED_VALUE"""),46142.661094421295)</f>
        <v>46142.66109</v>
      </c>
      <c r="B50" s="2" t="str">
        <f>IFERROR(__xludf.DUMMYFUNCTION("""COMPUTED_VALUE"""),"none")</f>
        <v>none</v>
      </c>
      <c r="C50" s="2" t="str">
        <f>IFERROR(__xludf.DUMMYFUNCTION("""COMPUTED_VALUE"""),"none")</f>
        <v>none</v>
      </c>
    </row>
    <row r="51">
      <c r="A51" s="3">
        <f>IFERROR(__xludf.DUMMYFUNCTION("""COMPUTED_VALUE"""),46142.66486550926)</f>
        <v>46142.66487</v>
      </c>
      <c r="B51" s="2" t="str">
        <f>IFERROR(__xludf.DUMMYFUNCTION("""COMPUTED_VALUE"""),"Nice and excellent ")</f>
        <v>Nice and excellent </v>
      </c>
      <c r="C51" s="2" t="str">
        <f>IFERROR(__xludf.DUMMYFUNCTION("""COMPUTED_VALUE"""),"Must be improve in more staffs to assist and entertain the costumers..")</f>
        <v>Must be improve in more staffs to assist and entertain the costumers..</v>
      </c>
    </row>
    <row r="52">
      <c r="A52" s="3">
        <f>IFERROR(__xludf.DUMMYFUNCTION("""COMPUTED_VALUE"""),46142.68480717593)</f>
        <v>46142.68481</v>
      </c>
      <c r="B52" s="2" t="str">
        <f>IFERROR(__xludf.DUMMYFUNCTION("""COMPUTED_VALUE"""),"none")</f>
        <v>none</v>
      </c>
      <c r="C52" s="2" t="str">
        <f>IFERROR(__xludf.DUMMYFUNCTION("""COMPUTED_VALUE"""),"none ")</f>
        <v>none </v>
      </c>
    </row>
    <row r="53">
      <c r="A53" s="3">
        <f>IFERROR(__xludf.DUMMYFUNCTION("""COMPUTED_VALUE"""),46142.69285328704)</f>
        <v>46142.69285</v>
      </c>
      <c r="B53" s="2" t="str">
        <f>IFERROR(__xludf.DUMMYFUNCTION("""COMPUTED_VALUE"""),"good services ")</f>
        <v>good services </v>
      </c>
      <c r="C53" s="2" t="str">
        <f>IFERROR(__xludf.DUMMYFUNCTION("""COMPUTED_VALUE"""),"none")</f>
        <v>none</v>
      </c>
    </row>
    <row r="54">
      <c r="A54" s="3">
        <f>IFERROR(__xludf.DUMMYFUNCTION("""COMPUTED_VALUE"""),46142.694532615744)</f>
        <v>46142.69453</v>
      </c>
      <c r="B54" s="2" t="str">
        <f>IFERROR(__xludf.DUMMYFUNCTION("""COMPUTED_VALUE"""),"It's good")</f>
        <v>It's good</v>
      </c>
      <c r="C54" s="2" t="str">
        <f>IFERROR(__xludf.DUMMYFUNCTION("""COMPUTED_VALUE"""),"Make the authorized personnel on the office more available so that we can transact more efficiently.")</f>
        <v>Make the authorized personnel on the office more available so that we can transact more efficiently.</v>
      </c>
    </row>
    <row r="55">
      <c r="A55" s="3">
        <f>IFERROR(__xludf.DUMMYFUNCTION("""COMPUTED_VALUE"""),46142.69765663194)</f>
        <v>46142.69766</v>
      </c>
      <c r="B55" s="2" t="str">
        <f>IFERROR(__xludf.DUMMYFUNCTION("""COMPUTED_VALUE"""),"there service is quality and good experiences")</f>
        <v>there service is quality and good experiences</v>
      </c>
      <c r="C55" s="2" t="str">
        <f>IFERROR(__xludf.DUMMYFUNCTION("""COMPUTED_VALUE"""),"nothing ")</f>
        <v>nothing </v>
      </c>
    </row>
    <row r="56">
      <c r="A56" s="3">
        <f>IFERROR(__xludf.DUMMYFUNCTION("""COMPUTED_VALUE"""),46142.69878744213)</f>
        <v>46142.69879</v>
      </c>
      <c r="B56" s="2" t="str">
        <f>IFERROR(__xludf.DUMMYFUNCTION("""COMPUTED_VALUE"""),"the service provided by the office were efficient and well organized. the staff were approachable, helpful, and responsive to my concerns, making that transaction smoot and hassle -free.")</f>
        <v>the service provided by the office were efficient and well organized. the staff were approachable, helpful, and responsive to my concerns, making that transaction smoot and hassle -free.</v>
      </c>
      <c r="C56" s="2" t="str">
        <f>IFERROR(__xludf.DUMMYFUNCTION("""COMPUTED_VALUE"""),"to further improve , the office may consider reducing waiting time, providing clearer instruction or guidelines , and maintaining consistent communication with clients. overall the service is already commendable.")</f>
        <v>to further improve , the office may consider reducing waiting time, providing clearer instruction or guidelines , and maintaining consistent communication with clients. overall the service is already commendable.</v>
      </c>
    </row>
    <row r="57">
      <c r="A57" s="3">
        <f>IFERROR(__xludf.DUMMYFUNCTION("""COMPUTED_VALUE"""),46142.69889414352)</f>
        <v>46142.69889</v>
      </c>
      <c r="B57" s="2" t="str">
        <f>IFERROR(__xludf.DUMMYFUNCTION("""COMPUTED_VALUE"""),"Excellent ")</f>
        <v>Excellent </v>
      </c>
      <c r="C57" s="2" t="str">
        <f>IFERROR(__xludf.DUMMYFUNCTION("""COMPUTED_VALUE"""),"None")</f>
        <v>None</v>
      </c>
    </row>
    <row r="58">
      <c r="A58" s="3">
        <f>IFERROR(__xludf.DUMMYFUNCTION("""COMPUTED_VALUE"""),46142.70959979166)</f>
        <v>46142.7096</v>
      </c>
      <c r="B58" s="2" t="str">
        <f>IFERROR(__xludf.DUMMYFUNCTION("""COMPUTED_VALUE"""),"The office provides organized and efficient services. The staff are approachable, responsive, and willing to assist clients with their concerns. Transactions are generally handled in a timely manner, and the procedures are clear and easy to follow. Overal"&amp;"l, the service is satisfactory and meets the needs of the clients.")</f>
        <v>The office provides organized and efficient services. The staff are approachable, responsive, and willing to assist clients with their concerns. Transactions are generally handled in a timely manner, and the procedures are clear and easy to follow. Overall, the service is satisfactory and meets the needs of the clients.</v>
      </c>
      <c r="C58" s="2" t="str">
        <f>IFERROR(__xludf.DUMMYFUNCTION("""COMPUTED_VALUE"""),"To further improve students experience, the office can reduce waiting time by streamlining processes and adding more staff during peak hours. Providing clearer instructions and visible signages can help guide clients better. Additionally, improving commun"&amp;"ication through online platforms or updates can make services more accessible and convenient. Enhancing facilities such as seating and ventilation would also make clients more comfortable.")</f>
        <v>To further improve students experience, the office can reduce waiting time by streamlining processes and adding more staff during peak hours. Providing clearer instructions and visible signages can help guide clients better. Additionally, improving communication through online platforms or updates can make services more accessible and convenient. Enhancing facilities such as seating and ventilation would also make clients more comfortable.</v>
      </c>
    </row>
    <row r="59">
      <c r="A59" s="3">
        <f>IFERROR(__xludf.DUMMYFUNCTION("""COMPUTED_VALUE"""),46142.719666840276)</f>
        <v>46142.71967</v>
      </c>
      <c r="B59" s="2" t="str">
        <f>IFERROR(__xludf.DUMMYFUNCTION("""COMPUTED_VALUE"""),"Good")</f>
        <v>Good</v>
      </c>
      <c r="C59" s="2" t="str">
        <f>IFERROR(__xludf.DUMMYFUNCTION("""COMPUTED_VALUE"""),"Nothing ")</f>
        <v>Nothing </v>
      </c>
    </row>
    <row r="60">
      <c r="A60" s="3">
        <f>IFERROR(__xludf.DUMMYFUNCTION("""COMPUTED_VALUE"""),46142.73573078704)</f>
        <v>46142.73573</v>
      </c>
      <c r="B60" s="2" t="str">
        <f>IFERROR(__xludf.DUMMYFUNCTION("""COMPUTED_VALUE"""),"It's convenient ")</f>
        <v>It's convenient </v>
      </c>
      <c r="C60" s="2" t="str">
        <f>IFERROR(__xludf.DUMMYFUNCTION("""COMPUTED_VALUE"""),"Nothing I know people in there did there best to satisfy people who needed them ")</f>
        <v>Nothing I know people in there did there best to satisfy people who needed them </v>
      </c>
    </row>
    <row r="61">
      <c r="A61" s="3">
        <f>IFERROR(__xludf.DUMMYFUNCTION("""COMPUTED_VALUE"""),46142.74047615741)</f>
        <v>46142.74048</v>
      </c>
      <c r="B61" s="2" t="str">
        <f>IFERROR(__xludf.DUMMYFUNCTION("""COMPUTED_VALUE"""),"N/A")</f>
        <v>N/A</v>
      </c>
      <c r="C61" s="2" t="str">
        <f>IFERROR(__xludf.DUMMYFUNCTION("""COMPUTED_VALUE"""),"N/A")</f>
        <v>N/A</v>
      </c>
    </row>
    <row r="62">
      <c r="A62" s="3">
        <f>IFERROR(__xludf.DUMMYFUNCTION("""COMPUTED_VALUE"""),46142.7544834375)</f>
        <v>46142.75448</v>
      </c>
      <c r="B62" s="2" t="str">
        <f>IFERROR(__xludf.DUMMYFUNCTION("""COMPUTED_VALUE"""),"N/A")</f>
        <v>N/A</v>
      </c>
      <c r="C62" s="2" t="str">
        <f>IFERROR(__xludf.DUMMYFUNCTION("""COMPUTED_VALUE"""),"N/A")</f>
        <v>N/A</v>
      </c>
    </row>
    <row r="63">
      <c r="A63" s="3">
        <f>IFERROR(__xludf.DUMMYFUNCTION("""COMPUTED_VALUE"""),46142.75678780093)</f>
        <v>46142.75679</v>
      </c>
      <c r="B63" s="2" t="str">
        <f>IFERROR(__xludf.DUMMYFUNCTION("""COMPUTED_VALUE"""),"Absolutely doing the good work for guiding us for passing our requirements and works and updates for us students ")</f>
        <v>Absolutely doing the good work for guiding us for passing our requirements and works and updates for us students </v>
      </c>
      <c r="C63" s="2" t="str">
        <f>IFERROR(__xludf.DUMMYFUNCTION("""COMPUTED_VALUE"""),"Nothing to say more ")</f>
        <v>Nothing to say more </v>
      </c>
    </row>
    <row r="64">
      <c r="A64" s="3">
        <f>IFERROR(__xludf.DUMMYFUNCTION("""COMPUTED_VALUE"""),46142.77972344907)</f>
        <v>46142.77972</v>
      </c>
      <c r="B64" s="2" t="str">
        <f>IFERROR(__xludf.DUMMYFUNCTION("""COMPUTED_VALUE"""),"Good ")</f>
        <v>Good </v>
      </c>
      <c r="C64" s="2" t="str">
        <f>IFERROR(__xludf.DUMMYFUNCTION("""COMPUTED_VALUE"""),"No suggestions ")</f>
        <v>No suggestions </v>
      </c>
    </row>
    <row r="65">
      <c r="A65" s="3">
        <f>IFERROR(__xludf.DUMMYFUNCTION("""COMPUTED_VALUE"""),46142.80453350695)</f>
        <v>46142.80453</v>
      </c>
      <c r="B65" s="2" t="str">
        <f>IFERROR(__xludf.DUMMYFUNCTION("""COMPUTED_VALUE"""),"None
")</f>
        <v>None
</v>
      </c>
      <c r="C65" s="2" t="str">
        <f>IFERROR(__xludf.DUMMYFUNCTION("""COMPUTED_VALUE"""),"None")</f>
        <v>None</v>
      </c>
    </row>
    <row r="66">
      <c r="A66" s="3">
        <f>IFERROR(__xludf.DUMMYFUNCTION("""COMPUTED_VALUE"""),46142.80631025463)</f>
        <v>46142.80631</v>
      </c>
      <c r="B66" s="2" t="str">
        <f>IFERROR(__xludf.DUMMYFUNCTION("""COMPUTED_VALUE"""),"The services are efficient and the staff are friendly and helpful.")</f>
        <v>The services are efficient and the staff are friendly and helpful.</v>
      </c>
      <c r="C66" s="2" t="str">
        <f>IFERROR(__xludf.DUMMYFUNCTION("""COMPUTED_VALUE"""),"Continue providing good service and maintain the organized system.")</f>
        <v>Continue providing good service and maintain the organized system.</v>
      </c>
    </row>
    <row r="67">
      <c r="A67" s="3">
        <f>IFERROR(__xludf.DUMMYFUNCTION("""COMPUTED_VALUE"""),46142.81001084491)</f>
        <v>46142.81001</v>
      </c>
      <c r="B67" s="2" t="str">
        <f>IFERROR(__xludf.DUMMYFUNCTION("""COMPUTED_VALUE"""),"The services provided by the office are organized, efficient, and helpful. The staff are approachable and willing to assist students with their concerns.")</f>
        <v>The services provided by the office are organized, efficient, and helpful. The staff are approachable and willing to assist students with their concerns.</v>
      </c>
      <c r="C67" s="2" t="str">
        <f>IFERROR(__xludf.DUMMYFUNCTION("""COMPUTED_VALUE"""),"the office can reduce waiting time by improving scheduling or adding more staff during busy hours. Providing clearer instructions and online services would also help students process their requests faster. ")</f>
        <v>the office can reduce waiting time by improving scheduling or adding more staff during busy hours. Providing clearer instructions and online services would also help students process their requests faster. </v>
      </c>
    </row>
    <row r="68">
      <c r="A68" s="3">
        <f>IFERROR(__xludf.DUMMYFUNCTION("""COMPUTED_VALUE"""),46143.00777055556)</f>
        <v>46143.00777</v>
      </c>
      <c r="B68" s="2" t="str">
        <f>IFERROR(__xludf.DUMMYFUNCTION("""COMPUTED_VALUE"""),"none")</f>
        <v>none</v>
      </c>
      <c r="C68" s="2" t="str">
        <f>IFERROR(__xludf.DUMMYFUNCTION("""COMPUTED_VALUE"""),"None")</f>
        <v>None</v>
      </c>
    </row>
    <row r="69">
      <c r="A69" s="3">
        <f>IFERROR(__xludf.DUMMYFUNCTION("""COMPUTED_VALUE"""),46143.17543070602)</f>
        <v>46143.17543</v>
      </c>
      <c r="B69" s="2" t="str">
        <f>IFERROR(__xludf.DUMMYFUNCTION("""COMPUTED_VALUE"""),"It’s good and fairly treated others")</f>
        <v>It’s good and fairly treated others</v>
      </c>
      <c r="C69" s="2" t="str">
        <f>IFERROR(__xludf.DUMMYFUNCTION("""COMPUTED_VALUE"""),"Response as soon as possible dont make the students wait outside thankyou")</f>
        <v>Response as soon as possible dont make the students wait outside thankyou</v>
      </c>
    </row>
    <row r="70">
      <c r="A70" s="3">
        <f>IFERROR(__xludf.DUMMYFUNCTION("""COMPUTED_VALUE"""),46143.448335023146)</f>
        <v>46143.44834</v>
      </c>
      <c r="B70" s="2" t="str">
        <f>IFERROR(__xludf.DUMMYFUNCTION("""COMPUTED_VALUE"""),"Good")</f>
        <v>Good</v>
      </c>
      <c r="C70" s="2" t="str">
        <f>IFERROR(__xludf.DUMMYFUNCTION("""COMPUTED_VALUE"""),"None")</f>
        <v>None</v>
      </c>
    </row>
    <row r="71">
      <c r="A71" s="3">
        <f>IFERROR(__xludf.DUMMYFUNCTION("""COMPUTED_VALUE"""),46143.48308640046)</f>
        <v>46143.48309</v>
      </c>
      <c r="B71" s="2" t="str">
        <f>IFERROR(__xludf.DUMMYFUNCTION("""COMPUTED_VALUE"""),"good and efficient ")</f>
        <v>good and efficient </v>
      </c>
      <c r="C71" s="2" t="str">
        <f>IFERROR(__xludf.DUMMYFUNCTION("""COMPUTED_VALUE"""),"none")</f>
        <v>none</v>
      </c>
    </row>
    <row r="72">
      <c r="A72" s="3">
        <f>IFERROR(__xludf.DUMMYFUNCTION("""COMPUTED_VALUE"""),46143.512155439814)</f>
        <v>46143.51216</v>
      </c>
      <c r="B72" s="2" t="str">
        <f>IFERROR(__xludf.DUMMYFUNCTION("""COMPUTED_VALUE"""),"None")</f>
        <v>None</v>
      </c>
      <c r="C72" s="2" t="str">
        <f>IFERROR(__xludf.DUMMYFUNCTION("""COMPUTED_VALUE"""),"None ")</f>
        <v>None </v>
      </c>
    </row>
    <row r="73">
      <c r="A73" s="3">
        <f>IFERROR(__xludf.DUMMYFUNCTION("""COMPUTED_VALUE"""),46143.58867030093)</f>
        <v>46143.58867</v>
      </c>
      <c r="B73" s="2" t="str">
        <f>IFERROR(__xludf.DUMMYFUNCTION("""COMPUTED_VALUE"""),"very good")</f>
        <v>very good</v>
      </c>
      <c r="C73" s="2" t="str">
        <f>IFERROR(__xludf.DUMMYFUNCTION("""COMPUTED_VALUE"""),"nothing")</f>
        <v>nothing</v>
      </c>
    </row>
    <row r="74">
      <c r="A74" s="3">
        <f>IFERROR(__xludf.DUMMYFUNCTION("""COMPUTED_VALUE"""),46143.60409898148)</f>
        <v>46143.6041</v>
      </c>
      <c r="B74" s="2" t="str">
        <f>IFERROR(__xludf.DUMMYFUNCTION("""COMPUTED_VALUE"""),"good")</f>
        <v>good</v>
      </c>
      <c r="C74" s="2" t="str">
        <f>IFERROR(__xludf.DUMMYFUNCTION("""COMPUTED_VALUE"""),"paitience")</f>
        <v>paitience</v>
      </c>
    </row>
    <row r="75">
      <c r="A75" s="3">
        <f>IFERROR(__xludf.DUMMYFUNCTION("""COMPUTED_VALUE"""),46143.80556547454)</f>
        <v>46143.80557</v>
      </c>
      <c r="B75" s="2" t="str">
        <f>IFERROR(__xludf.DUMMYFUNCTION("""COMPUTED_VALUE"""),"none ")</f>
        <v>none </v>
      </c>
      <c r="C75" s="2"/>
    </row>
    <row r="76">
      <c r="A76" s="3">
        <f>IFERROR(__xludf.DUMMYFUNCTION("""COMPUTED_VALUE"""),46143.80926440972)</f>
        <v>46143.80926</v>
      </c>
      <c r="B76" s="2" t="str">
        <f>IFERROR(__xludf.DUMMYFUNCTION("""COMPUTED_VALUE"""),"Good")</f>
        <v>Good</v>
      </c>
      <c r="C76" s="2" t="str">
        <f>IFERROR(__xludf.DUMMYFUNCTION("""COMPUTED_VALUE"""),"None")</f>
        <v>None</v>
      </c>
    </row>
    <row r="77">
      <c r="A77" s="3">
        <f>IFERROR(__xludf.DUMMYFUNCTION("""COMPUTED_VALUE"""),46143.828466481486)</f>
        <v>46143.82847</v>
      </c>
      <c r="B77" s="2" t="str">
        <f>IFERROR(__xludf.DUMMYFUNCTION("""COMPUTED_VALUE"""),"Very compassionate and communicable to the students.")</f>
        <v>Very compassionate and communicable to the students.</v>
      </c>
      <c r="C77" s="2" t="str">
        <f>IFERROR(__xludf.DUMMYFUNCTION("""COMPUTED_VALUE"""),"More participation of organization outside community.")</f>
        <v>More participation of organization outside community.</v>
      </c>
    </row>
    <row r="78">
      <c r="A78" s="3">
        <f>IFERROR(__xludf.DUMMYFUNCTION("""COMPUTED_VALUE"""),46143.87601503472)</f>
        <v>46143.87602</v>
      </c>
      <c r="B78" s="2" t="str">
        <f>IFERROR(__xludf.DUMMYFUNCTION("""COMPUTED_VALUE"""),"Good")</f>
        <v>Good</v>
      </c>
      <c r="C78" s="2" t="str">
        <f>IFERROR(__xludf.DUMMYFUNCTION("""COMPUTED_VALUE"""),"Nothing ")</f>
        <v>Nothing </v>
      </c>
    </row>
    <row r="79">
      <c r="A79" s="3">
        <f>IFERROR(__xludf.DUMMYFUNCTION("""COMPUTED_VALUE"""),46143.98289746528)</f>
        <v>46143.9829</v>
      </c>
      <c r="B79" s="2" t="str">
        <f>IFERROR(__xludf.DUMMYFUNCTION("""COMPUTED_VALUE"""),"The services provided by the office are efficient and well-organized. The staff are approachable, respectful, and willing to assist clients with their concerns. Transactions are handled smoothly, making the process convenient and less time-consuming. Over"&amp;"all, the office delivers satisfactory service that meets client needs.")</f>
        <v>The services provided by the office are efficient and well-organized. The staff are approachable, respectful, and willing to assist clients with their concerns. Transactions are handled smoothly, making the process convenient and less time-consuming. Overall, the office delivers satisfactory service that meets client needs.</v>
      </c>
      <c r="C79" s="2" t="str">
        <f>IFERROR(__xludf.DUMMYFUNCTION("""COMPUTED_VALUE"""),"To improve customer experience, the office may provide clearer instructions or signage and this can help clients understand procedures more easily and Increasing staff availability These improvements can further enhance efficiency and client satisfaction.")</f>
        <v>To improve customer experience, the office may provide clearer instructions or signage and this can help clients understand procedures more easily and Increasing staff availability These improvements can further enhance efficiency and client satisfaction.</v>
      </c>
    </row>
    <row r="80">
      <c r="A80" s="3">
        <f>IFERROR(__xludf.DUMMYFUNCTION("""COMPUTED_VALUE"""),46144.423999375)</f>
        <v>46144.424</v>
      </c>
      <c r="B80" s="2" t="str">
        <f>IFERROR(__xludf.DUMMYFUNCTION("""COMPUTED_VALUE"""),"None")</f>
        <v>None</v>
      </c>
      <c r="C80" s="2" t="str">
        <f>IFERROR(__xludf.DUMMYFUNCTION("""COMPUTED_VALUE"""),"None")</f>
        <v>None</v>
      </c>
    </row>
    <row r="81">
      <c r="A81" s="3">
        <f>IFERROR(__xludf.DUMMYFUNCTION("""COMPUTED_VALUE"""),46144.476721238425)</f>
        <v>46144.47672</v>
      </c>
      <c r="B81" s="2" t="str">
        <f>IFERROR(__xludf.DUMMYFUNCTION("""COMPUTED_VALUE"""),"None")</f>
        <v>None</v>
      </c>
      <c r="C81" s="2" t="str">
        <f>IFERROR(__xludf.DUMMYFUNCTION("""COMPUTED_VALUE"""),"None")</f>
        <v>None</v>
      </c>
    </row>
    <row r="82">
      <c r="A82" s="3">
        <f>IFERROR(__xludf.DUMMYFUNCTION("""COMPUTED_VALUE"""),46144.53833380787)</f>
        <v>46144.53833</v>
      </c>
      <c r="B82" s="2" t="str">
        <f>IFERROR(__xludf.DUMMYFUNCTION("""COMPUTED_VALUE"""),"Good")</f>
        <v>Good</v>
      </c>
      <c r="C82" s="2"/>
    </row>
    <row r="83">
      <c r="A83" s="3">
        <f>IFERROR(__xludf.DUMMYFUNCTION("""COMPUTED_VALUE"""),46144.63275236111)</f>
        <v>46144.63275</v>
      </c>
      <c r="B83" s="2" t="str">
        <f>IFERROR(__xludf.DUMMYFUNCTION("""COMPUTED_VALUE"""),"N/A")</f>
        <v>N/A</v>
      </c>
      <c r="C83" s="2" t="str">
        <f>IFERROR(__xludf.DUMMYFUNCTION("""COMPUTED_VALUE"""),"N/A")</f>
        <v>N/A</v>
      </c>
    </row>
    <row r="84">
      <c r="A84" s="3">
        <f>IFERROR(__xludf.DUMMYFUNCTION("""COMPUTED_VALUE"""),46144.649866921296)</f>
        <v>46144.64987</v>
      </c>
      <c r="B84" s="2" t="str">
        <f>IFERROR(__xludf.DUMMYFUNCTION("""COMPUTED_VALUE"""),"N/a")</f>
        <v>N/a</v>
      </c>
      <c r="C84" s="2" t="str">
        <f>IFERROR(__xludf.DUMMYFUNCTION("""COMPUTED_VALUE"""),"N/a")</f>
        <v>N/a</v>
      </c>
    </row>
    <row r="85">
      <c r="A85" s="3">
        <f>IFERROR(__xludf.DUMMYFUNCTION("""COMPUTED_VALUE"""),46144.72218482639)</f>
        <v>46144.72218</v>
      </c>
      <c r="B85" s="2" t="str">
        <f>IFERROR(__xludf.DUMMYFUNCTION("""COMPUTED_VALUE"""),"Good")</f>
        <v>Good</v>
      </c>
      <c r="C85" s="2" t="str">
        <f>IFERROR(__xludf.DUMMYFUNCTION("""COMPUTED_VALUE"""),"None")</f>
        <v>None</v>
      </c>
    </row>
    <row r="86">
      <c r="A86" s="3">
        <f>IFERROR(__xludf.DUMMYFUNCTION("""COMPUTED_VALUE"""),46144.827494212965)</f>
        <v>46144.82749</v>
      </c>
      <c r="B86" s="2" t="str">
        <f>IFERROR(__xludf.DUMMYFUNCTION("""COMPUTED_VALUE"""),"goods")</f>
        <v>goods</v>
      </c>
      <c r="C86" s="2" t="str">
        <f>IFERROR(__xludf.DUMMYFUNCTION("""COMPUTED_VALUE"""),"goods")</f>
        <v>goods</v>
      </c>
    </row>
    <row r="87">
      <c r="A87" s="3">
        <f>IFERROR(__xludf.DUMMYFUNCTION("""COMPUTED_VALUE"""),46144.84216810185)</f>
        <v>46144.84217</v>
      </c>
      <c r="B87" s="2" t="str">
        <f>IFERROR(__xludf.DUMMYFUNCTION("""COMPUTED_VALUE"""),"N/A")</f>
        <v>N/A</v>
      </c>
      <c r="C87" s="2" t="str">
        <f>IFERROR(__xludf.DUMMYFUNCTION("""COMPUTED_VALUE"""),"N/A")</f>
        <v>N/A</v>
      </c>
    </row>
    <row r="88">
      <c r="A88" s="3">
        <f>IFERROR(__xludf.DUMMYFUNCTION("""COMPUTED_VALUE"""),46144.92686769676)</f>
        <v>46144.92687</v>
      </c>
      <c r="B88" s="2" t="str">
        <f>IFERROR(__xludf.DUMMYFUNCTION("""COMPUTED_VALUE"""),"Very flabbergasted about how unprofessional and unwelcoming your staff seems to be in teaching and accommodating.")</f>
        <v>Very flabbergasted about how unprofessional and unwelcoming your staff seems to be in teaching and accommodating.</v>
      </c>
      <c r="C88" s="2" t="str">
        <f>IFERROR(__xludf.DUMMYFUNCTION("""COMPUTED_VALUE"""),"Be the opposite.")</f>
        <v>Be the opposite.</v>
      </c>
    </row>
    <row r="89">
      <c r="A89" s="3">
        <f>IFERROR(__xludf.DUMMYFUNCTION("""COMPUTED_VALUE"""),46145.07182668982)</f>
        <v>46145.07183</v>
      </c>
      <c r="B89" s="2" t="str">
        <f>IFERROR(__xludf.DUMMYFUNCTION("""COMPUTED_VALUE"""),"Good. However, there are time that delayed and mga urgent messages or announcement ")</f>
        <v>Good. However, there are time that delayed and mga urgent messages or announcement </v>
      </c>
      <c r="C89" s="2" t="str">
        <f>IFERROR(__xludf.DUMMYFUNCTION("""COMPUTED_VALUE"""),"Always communicate in advance or if not possible days or few hours before a change plan or action.")</f>
        <v>Always communicate in advance or if not possible days or few hours before a change plan or action.</v>
      </c>
    </row>
    <row r="90">
      <c r="A90" s="3">
        <f>IFERROR(__xludf.DUMMYFUNCTION("""COMPUTED_VALUE"""),46145.4439982176)</f>
        <v>46145.444</v>
      </c>
      <c r="B90" s="2" t="str">
        <f>IFERROR(__xludf.DUMMYFUNCTION("""COMPUTED_VALUE"""),"the accomodation ")</f>
        <v>the accomodation </v>
      </c>
      <c r="C90" s="2" t="str">
        <f>IFERROR(__xludf.DUMMYFUNCTION("""COMPUTED_VALUE"""),"make sure that you have a good service to customer ")</f>
        <v>make sure that you have a good service to customer </v>
      </c>
    </row>
    <row r="91">
      <c r="A91" s="3">
        <f>IFERROR(__xludf.DUMMYFUNCTION("""COMPUTED_VALUE"""),46145.522238749996)</f>
        <v>46145.52224</v>
      </c>
      <c r="B91" s="2" t="str">
        <f>IFERROR(__xludf.DUMMYFUNCTION("""COMPUTED_VALUE"""),"Good")</f>
        <v>Good</v>
      </c>
      <c r="C91" s="2"/>
    </row>
    <row r="92">
      <c r="A92" s="3">
        <f>IFERROR(__xludf.DUMMYFUNCTION("""COMPUTED_VALUE"""),46145.558655138884)</f>
        <v>46145.55866</v>
      </c>
      <c r="B92" s="2" t="str">
        <f>IFERROR(__xludf.DUMMYFUNCTION("""COMPUTED_VALUE"""),"excellent ")</f>
        <v>excellent </v>
      </c>
      <c r="C92" s="2" t="str">
        <f>IFERROR(__xludf.DUMMYFUNCTION("""COMPUTED_VALUE"""),"none")</f>
        <v>none</v>
      </c>
    </row>
    <row r="93">
      <c r="A93" s="3">
        <f>IFERROR(__xludf.DUMMYFUNCTION("""COMPUTED_VALUE"""),46145.78839030092)</f>
        <v>46145.78839</v>
      </c>
      <c r="B93" s="2" t="str">
        <f>IFERROR(__xludf.DUMMYFUNCTION("""COMPUTED_VALUE"""),"It's nice ")</f>
        <v>It's nice </v>
      </c>
      <c r="C93" s="2" t="str">
        <f>IFERROR(__xludf.DUMMYFUNCTION("""COMPUTED_VALUE"""),"None ")</f>
        <v>None </v>
      </c>
    </row>
    <row r="94">
      <c r="A94" s="3">
        <f>IFERROR(__xludf.DUMMYFUNCTION("""COMPUTED_VALUE"""),46145.82264936343)</f>
        <v>46145.82265</v>
      </c>
      <c r="B94" s="2" t="str">
        <f>IFERROR(__xludf.DUMMYFUNCTION("""COMPUTED_VALUE"""),"Conducting Community Service is fun")</f>
        <v>Conducting Community Service is fun</v>
      </c>
      <c r="C94" s="2" t="str">
        <f>IFERROR(__xludf.DUMMYFUNCTION("""COMPUTED_VALUE"""),"none")</f>
        <v>none</v>
      </c>
    </row>
    <row r="95">
      <c r="A95" s="3">
        <f>IFERROR(__xludf.DUMMYFUNCTION("""COMPUTED_VALUE"""),46145.83017287037)</f>
        <v>46145.83017</v>
      </c>
      <c r="B95" s="2" t="str">
        <f>IFERROR(__xludf.DUMMYFUNCTION("""COMPUTED_VALUE"""),"Nothing much to say ")</f>
        <v>Nothing much to say </v>
      </c>
      <c r="C95" s="2" t="str">
        <f>IFERROR(__xludf.DUMMYFUNCTION("""COMPUTED_VALUE"""),"Nothing at all just do at theyre best to serve and guide our fellow department students ")</f>
        <v>Nothing at all just do at theyre best to serve and guide our fellow department students </v>
      </c>
    </row>
    <row r="96">
      <c r="A96" s="3">
        <f>IFERROR(__xludf.DUMMYFUNCTION("""COMPUTED_VALUE"""),46145.83072923611)</f>
        <v>46145.83073</v>
      </c>
      <c r="B96" s="2" t="str">
        <f>IFERROR(__xludf.DUMMYFUNCTION("""COMPUTED_VALUE"""),"nothing ")</f>
        <v>nothing </v>
      </c>
      <c r="C96" s="2" t="str">
        <f>IFERROR(__xludf.DUMMYFUNCTION("""COMPUTED_VALUE"""),"i dont know")</f>
        <v>i dont know</v>
      </c>
    </row>
    <row r="97">
      <c r="A97" s="3">
        <f>IFERROR(__xludf.DUMMYFUNCTION("""COMPUTED_VALUE"""),46145.85721591435)</f>
        <v>46145.85722</v>
      </c>
      <c r="B97" s="2" t="str">
        <f>IFERROR(__xludf.DUMMYFUNCTION("""COMPUTED_VALUE"""),"Good ")</f>
        <v>Good </v>
      </c>
      <c r="C97" s="2" t="str">
        <f>IFERROR(__xludf.DUMMYFUNCTION("""COMPUTED_VALUE"""),"None")</f>
        <v>None</v>
      </c>
    </row>
    <row r="98">
      <c r="A98" s="3">
        <f>IFERROR(__xludf.DUMMYFUNCTION("""COMPUTED_VALUE"""),46145.8648354051)</f>
        <v>46145.86484</v>
      </c>
      <c r="B98" s="2" t="str">
        <f>IFERROR(__xludf.DUMMYFUNCTION("""COMPUTED_VALUE"""),"Very convenient and reliable ")</f>
        <v>Very convenient and reliable </v>
      </c>
      <c r="C98" s="2" t="str">
        <f>IFERROR(__xludf.DUMMYFUNCTION("""COMPUTED_VALUE"""),"None ")</f>
        <v>None </v>
      </c>
    </row>
    <row r="99">
      <c r="A99" s="3">
        <f>IFERROR(__xludf.DUMMYFUNCTION("""COMPUTED_VALUE"""),46145.87095679398)</f>
        <v>46145.87096</v>
      </c>
      <c r="B99" s="2" t="str">
        <f>IFERROR(__xludf.DUMMYFUNCTION("""COMPUTED_VALUE"""),"None ")</f>
        <v>None </v>
      </c>
      <c r="C99" s="2" t="str">
        <f>IFERROR(__xludf.DUMMYFUNCTION("""COMPUTED_VALUE"""),"None")</f>
        <v>None</v>
      </c>
    </row>
    <row r="100">
      <c r="A100" s="3">
        <f>IFERROR(__xludf.DUMMYFUNCTION("""COMPUTED_VALUE"""),46145.88653240741)</f>
        <v>46145.88653</v>
      </c>
      <c r="B100" s="2" t="str">
        <f>IFERROR(__xludf.DUMMYFUNCTION("""COMPUTED_VALUE"""),"none")</f>
        <v>none</v>
      </c>
      <c r="C100" s="2" t="str">
        <f>IFERROR(__xludf.DUMMYFUNCTION("""COMPUTED_VALUE"""),"none")</f>
        <v>none</v>
      </c>
    </row>
    <row r="101">
      <c r="A101" s="3">
        <f>IFERROR(__xludf.DUMMYFUNCTION("""COMPUTED_VALUE"""),46145.887411585645)</f>
        <v>46145.88741</v>
      </c>
      <c r="B101" s="2" t="str">
        <f>IFERROR(__xludf.DUMMYFUNCTION("""COMPUTED_VALUE"""),"my comment is somehow there's a unfair treatment bcs the staff is attitude but beautiful ")</f>
        <v>my comment is somehow there's a unfair treatment bcs the staff is attitude but beautiful </v>
      </c>
      <c r="C101" s="2" t="str">
        <f>IFERROR(__xludf.DUMMYFUNCTION("""COMPUTED_VALUE"""),"none")</f>
        <v>none</v>
      </c>
    </row>
    <row r="102">
      <c r="A102" s="3">
        <f>IFERROR(__xludf.DUMMYFUNCTION("""COMPUTED_VALUE"""),46145.89933277778)</f>
        <v>46145.89933</v>
      </c>
      <c r="B102" s="2"/>
      <c r="C102" s="2" t="str">
        <f>IFERROR(__xludf.DUMMYFUNCTION("""COMPUTED_VALUE"""),"More staff to accommodate the students")</f>
        <v>More staff to accommodate the students</v>
      </c>
    </row>
    <row r="103">
      <c r="A103" s="3">
        <f>IFERROR(__xludf.DUMMYFUNCTION("""COMPUTED_VALUE"""),46145.90333050926)</f>
        <v>46145.90333</v>
      </c>
      <c r="B103" s="2" t="str">
        <f>IFERROR(__xludf.DUMMYFUNCTION("""COMPUTED_VALUE"""),"Good service ")</f>
        <v>Good service </v>
      </c>
      <c r="C103" s="2"/>
    </row>
    <row r="104">
      <c r="A104" s="3">
        <f>IFERROR(__xludf.DUMMYFUNCTION("""COMPUTED_VALUE"""),46145.91558346065)</f>
        <v>46145.91558</v>
      </c>
      <c r="B104" s="2" t="str">
        <f>IFERROR(__xludf.DUMMYFUNCTION("""COMPUTED_VALUE"""),"It's okay, people are nice. ")</f>
        <v>It's okay, people are nice. </v>
      </c>
      <c r="C104" s="2" t="str">
        <f>IFERROR(__xludf.DUMMYFUNCTION("""COMPUTED_VALUE"""),"None so far. ")</f>
        <v>None so far. </v>
      </c>
    </row>
    <row r="105">
      <c r="A105" s="3">
        <f>IFERROR(__xludf.DUMMYFUNCTION("""COMPUTED_VALUE"""),46145.93763151621)</f>
        <v>46145.93763</v>
      </c>
      <c r="B105" s="2" t="str">
        <f>IFERROR(__xludf.DUMMYFUNCTION("""COMPUTED_VALUE"""),"The services provided by the office are generally good and satisfactory. The staff are polite, helpful, and professional. The procedures are clear, and transactions are processed smoothly. However, there is still room for improvement, especially in reduci"&amp;"ng waiting time and making information easier to access.")</f>
        <v>The services provided by the office are generally good and satisfactory. The staff are polite, helpful, and professional. The procedures are clear, and transactions are processed smoothly. However, there is still room for improvement, especially in reducing waiting time and making information easier to access.</v>
      </c>
      <c r="C105" s="2" t="str">
        <f>IFERROR(__xludf.DUMMYFUNCTION("""COMPUTED_VALUE"""),"
1. Reduce waiting time by improving the queuing system or using online appointments.
2. Provide clear information and post requirements/guidelines visibly so customers know what to prepare.
3. Upgrade facilities to make the area more comfortable, clean"&amp;", and well-ventilated.
4. Enhance staff service by maintaining a friendly, professional, and approachable attitude.
5. Use technology to make transactions faster and easier.")</f>
        <v>
1. Reduce waiting time by improving the queuing system or using online appointments.
2. Provide clear information and post requirements/guidelines visibly so customers know what to prepare.
3. Upgrade facilities to make the area more comfortable, clean, and well-ventilated.
4. Enhance staff service by maintaining a friendly, professional, and approachable attitude.
5. Use technology to make transactions faster and easier.</v>
      </c>
    </row>
    <row r="106">
      <c r="A106" s="3">
        <f>IFERROR(__xludf.DUMMYFUNCTION("""COMPUTED_VALUE"""),46145.9419890162)</f>
        <v>46145.94199</v>
      </c>
      <c r="B106" s="2" t="str">
        <f>IFERROR(__xludf.DUMMYFUNCTION("""COMPUTED_VALUE"""),"No comment.")</f>
        <v>No comment.</v>
      </c>
      <c r="C106" s="2" t="str">
        <f>IFERROR(__xludf.DUMMYFUNCTION("""COMPUTED_VALUE"""),"No suggestion.")</f>
        <v>No suggestion.</v>
      </c>
    </row>
    <row r="107">
      <c r="A107" s="3">
        <f>IFERROR(__xludf.DUMMYFUNCTION("""COMPUTED_VALUE"""),46145.9866516551)</f>
        <v>46145.98665</v>
      </c>
      <c r="B107" s="2" t="str">
        <f>IFERROR(__xludf.DUMMYFUNCTION("""COMPUTED_VALUE"""),"Good")</f>
        <v>Good</v>
      </c>
      <c r="C107" s="2" t="str">
        <f>IFERROR(__xludf.DUMMYFUNCTION("""COMPUTED_VALUE"""),"None")</f>
        <v>None</v>
      </c>
    </row>
    <row r="108">
      <c r="A108" s="3">
        <f>IFERROR(__xludf.DUMMYFUNCTION("""COMPUTED_VALUE"""),46146.326035844904)</f>
        <v>46146.32604</v>
      </c>
      <c r="B108" s="2" t="str">
        <f>IFERROR(__xludf.DUMMYFUNCTION("""COMPUTED_VALUE"""),"None")</f>
        <v>None</v>
      </c>
      <c r="C108" s="2" t="str">
        <f>IFERROR(__xludf.DUMMYFUNCTION("""COMPUTED_VALUE"""),"None")</f>
        <v>None</v>
      </c>
    </row>
    <row r="109">
      <c r="A109" s="3">
        <f>IFERROR(__xludf.DUMMYFUNCTION("""COMPUTED_VALUE"""),46146.375740821764)</f>
        <v>46146.37574</v>
      </c>
      <c r="B109" s="2" t="str">
        <f>IFERROR(__xludf.DUMMYFUNCTION("""COMPUTED_VALUE"""),"it was good")</f>
        <v>it was good</v>
      </c>
      <c r="C109" s="2" t="str">
        <f>IFERROR(__xludf.DUMMYFUNCTION("""COMPUTED_VALUE"""),"none")</f>
        <v>none</v>
      </c>
    </row>
    <row r="110">
      <c r="A110" s="3">
        <f>IFERROR(__xludf.DUMMYFUNCTION("""COMPUTED_VALUE"""),46146.39037511574)</f>
        <v>46146.39038</v>
      </c>
      <c r="B110" s="2" t="str">
        <f>IFERROR(__xludf.DUMMYFUNCTION("""COMPUTED_VALUE"""),"   ")</f>
        <v>   </v>
      </c>
      <c r="C110" s="2" t="str">
        <f>IFERROR(__xludf.DUMMYFUNCTION("""COMPUTED_VALUE"""),"     ")</f>
        <v>     </v>
      </c>
    </row>
    <row r="111">
      <c r="A111" s="3">
        <f>IFERROR(__xludf.DUMMYFUNCTION("""COMPUTED_VALUE"""),46146.436940590276)</f>
        <v>46146.43694</v>
      </c>
      <c r="B111" s="2" t="str">
        <f>IFERROR(__xludf.DUMMYFUNCTION("""COMPUTED_VALUE"""),"It's good")</f>
        <v>It's good</v>
      </c>
      <c r="C111" s="2" t="str">
        <f>IFERROR(__xludf.DUMMYFUNCTION("""COMPUTED_VALUE"""),"There's nothing at all ")</f>
        <v>There's nothing at all </v>
      </c>
    </row>
    <row r="112">
      <c r="A112" s="3">
        <f>IFERROR(__xludf.DUMMYFUNCTION("""COMPUTED_VALUE"""),46146.54980621528)</f>
        <v>46146.54981</v>
      </c>
      <c r="B112" s="2" t="str">
        <f>IFERROR(__xludf.DUMMYFUNCTION("""COMPUTED_VALUE"""),"NONE")</f>
        <v>NONE</v>
      </c>
      <c r="C112" s="2" t="str">
        <f>IFERROR(__xludf.DUMMYFUNCTION("""COMPUTED_VALUE"""),"NONE")</f>
        <v>NONE</v>
      </c>
    </row>
    <row r="113">
      <c r="A113" s="3">
        <f>IFERROR(__xludf.DUMMYFUNCTION("""COMPUTED_VALUE"""),46146.77015394676)</f>
        <v>46146.77015</v>
      </c>
      <c r="B113" s="2" t="str">
        <f>IFERROR(__xludf.DUMMYFUNCTION("""COMPUTED_VALUE"""),"I can say that the services provided by the office are good and organized. The staff are helpful and able to assist customer or the student properly, making the process smooth and efficient.")</f>
        <v>I can say that the services provided by the office are good and organized. The staff are helpful and able to assist customer or the student properly, making the process smooth and efficient.</v>
      </c>
      <c r="C113" s="2" t="str">
        <f>IFERROR(__xludf.DUMMYFUNCTION("""COMPUTED_VALUE""")," I think the office is already doing well in serving customers. The staff are helpful, and the process is organized, so there are no suggestions for improvement at the moment.")</f>
        <v> I think the office is already doing well in serving customers. The staff are helpful, and the process is organized, so there are no suggestions for improvement at the moment.</v>
      </c>
    </row>
    <row r="114">
      <c r="A114" s="3">
        <f>IFERROR(__xludf.DUMMYFUNCTION("""COMPUTED_VALUE"""),46146.82833871528)</f>
        <v>46146.82834</v>
      </c>
      <c r="B114" s="2" t="str">
        <f>IFERROR(__xludf.DUMMYFUNCTION("""COMPUTED_VALUE"""),"None")</f>
        <v>None</v>
      </c>
      <c r="C114" s="2" t="str">
        <f>IFERROR(__xludf.DUMMYFUNCTION("""COMPUTED_VALUE"""),"None")</f>
        <v>None</v>
      </c>
    </row>
    <row r="115">
      <c r="A115" s="3">
        <f>IFERROR(__xludf.DUMMYFUNCTION("""COMPUTED_VALUE"""),46146.85182715278)</f>
        <v>46146.85183</v>
      </c>
      <c r="B115" s="2" t="str">
        <f>IFERROR(__xludf.DUMMYFUNCTION("""COMPUTED_VALUE"""),"none")</f>
        <v>none</v>
      </c>
      <c r="C115" s="2" t="str">
        <f>IFERROR(__xludf.DUMMYFUNCTION("""COMPUTED_VALUE"""),"None")</f>
        <v>None</v>
      </c>
    </row>
    <row r="116">
      <c r="A116" s="3">
        <f>IFERROR(__xludf.DUMMYFUNCTION("""COMPUTED_VALUE"""),46146.865576909724)</f>
        <v>46146.86558</v>
      </c>
      <c r="B116" s="2" t="str">
        <f>IFERROR(__xludf.DUMMYFUNCTION("""COMPUTED_VALUE"""),"none")</f>
        <v>none</v>
      </c>
      <c r="C116" s="2" t="str">
        <f>IFERROR(__xludf.DUMMYFUNCTION("""COMPUTED_VALUE"""),"none")</f>
        <v>none</v>
      </c>
    </row>
    <row r="117">
      <c r="A117" s="3">
        <f>IFERROR(__xludf.DUMMYFUNCTION("""COMPUTED_VALUE"""),46146.88174868056)</f>
        <v>46146.88175</v>
      </c>
      <c r="B117" s="2" t="str">
        <f>IFERROR(__xludf.DUMMYFUNCTION("""COMPUTED_VALUE"""),"nice ")</f>
        <v>nice </v>
      </c>
      <c r="C117" s="2" t="str">
        <f>IFERROR(__xludf.DUMMYFUNCTION("""COMPUTED_VALUE"""),"nothing ")</f>
        <v>nothing </v>
      </c>
    </row>
    <row r="118">
      <c r="A118" s="3">
        <f>IFERROR(__xludf.DUMMYFUNCTION("""COMPUTED_VALUE"""),46146.96911528935)</f>
        <v>46146.96912</v>
      </c>
      <c r="B118" s="2" t="str">
        <f>IFERROR(__xludf.DUMMYFUNCTION("""COMPUTED_VALUE"""),"Not Good Not Bad")</f>
        <v>Not Good Not Bad</v>
      </c>
      <c r="C118" s="2" t="str">
        <f>IFERROR(__xludf.DUMMYFUNCTION("""COMPUTED_VALUE"""),"I would like to suggest to be a responsible to every department and be fair always")</f>
        <v>I would like to suggest to be a responsible to every department and be fair always</v>
      </c>
    </row>
    <row r="119">
      <c r="A119" s="3">
        <f>IFERROR(__xludf.DUMMYFUNCTION("""COMPUTED_VALUE"""),46147.71746672454)</f>
        <v>46147.71747</v>
      </c>
      <c r="B119" s="2" t="str">
        <f>IFERROR(__xludf.DUMMYFUNCTION("""COMPUTED_VALUE"""),"none")</f>
        <v>none</v>
      </c>
      <c r="C119" s="2" t="str">
        <f>IFERROR(__xludf.DUMMYFUNCTION("""COMPUTED_VALUE"""),"none")</f>
        <v>none</v>
      </c>
    </row>
    <row r="120">
      <c r="A120" s="3">
        <f>IFERROR(__xludf.DUMMYFUNCTION("""COMPUTED_VALUE"""),46147.71788128473)</f>
        <v>46147.71788</v>
      </c>
      <c r="B120" s="2" t="str">
        <f>IFERROR(__xludf.DUMMYFUNCTION("""COMPUTED_VALUE"""),"none ")</f>
        <v>none </v>
      </c>
      <c r="C120" s="2" t="str">
        <f>IFERROR(__xludf.DUMMYFUNCTION("""COMPUTED_VALUE"""),"none")</f>
        <v>none</v>
      </c>
    </row>
    <row r="121">
      <c r="A121" s="3">
        <f>IFERROR(__xludf.DUMMYFUNCTION("""COMPUTED_VALUE"""),46147.71790927083)</f>
        <v>46147.71791</v>
      </c>
      <c r="B121" s="2" t="str">
        <f>IFERROR(__xludf.DUMMYFUNCTION("""COMPUTED_VALUE"""),"It's good")</f>
        <v>It's good</v>
      </c>
      <c r="C121" s="2" t="str">
        <f>IFERROR(__xludf.DUMMYFUNCTION("""COMPUTED_VALUE"""),"Nothing")</f>
        <v>Nothing</v>
      </c>
    </row>
    <row r="122">
      <c r="A122" s="3">
        <f>IFERROR(__xludf.DUMMYFUNCTION("""COMPUTED_VALUE"""),46147.719413541665)</f>
        <v>46147.71941</v>
      </c>
      <c r="B122" s="2" t="str">
        <f>IFERROR(__xludf.DUMMYFUNCTION("""COMPUTED_VALUE"""),"none")</f>
        <v>none</v>
      </c>
      <c r="C122" s="2" t="str">
        <f>IFERROR(__xludf.DUMMYFUNCTION("""COMPUTED_VALUE"""),"none ")</f>
        <v>none </v>
      </c>
    </row>
    <row r="123">
      <c r="A123" s="3">
        <f>IFERROR(__xludf.DUMMYFUNCTION("""COMPUTED_VALUE"""),46147.71949454861)</f>
        <v>46147.71949</v>
      </c>
      <c r="B123" s="2" t="str">
        <f>IFERROR(__xludf.DUMMYFUNCTION("""COMPUTED_VALUE"""),"N/A")</f>
        <v>N/A</v>
      </c>
      <c r="C123" s="2" t="str">
        <f>IFERROR(__xludf.DUMMYFUNCTION("""COMPUTED_VALUE"""),"N/A")</f>
        <v>N/A</v>
      </c>
    </row>
    <row r="124">
      <c r="A124" s="3">
        <f>IFERROR(__xludf.DUMMYFUNCTION("""COMPUTED_VALUE"""),46147.7197721875)</f>
        <v>46147.71977</v>
      </c>
      <c r="B124" s="2" t="str">
        <f>IFERROR(__xludf.DUMMYFUNCTION("""COMPUTED_VALUE"""),"N/a")</f>
        <v>N/a</v>
      </c>
      <c r="C124" s="2" t="str">
        <f>IFERROR(__xludf.DUMMYFUNCTION("""COMPUTED_VALUE"""),"N/a")</f>
        <v>N/a</v>
      </c>
    </row>
    <row r="125">
      <c r="A125" s="3">
        <f>IFERROR(__xludf.DUMMYFUNCTION("""COMPUTED_VALUE"""),46147.71995396991)</f>
        <v>46147.71995</v>
      </c>
      <c r="B125" s="2" t="str">
        <f>IFERROR(__xludf.DUMMYFUNCTION("""COMPUTED_VALUE"""),"A good service. The staff is approachable.")</f>
        <v>A good service. The staff is approachable.</v>
      </c>
      <c r="C125" s="2" t="str">
        <f>IFERROR(__xludf.DUMMYFUNCTION("""COMPUTED_VALUE"""),"None")</f>
        <v>None</v>
      </c>
    </row>
    <row r="126">
      <c r="A126" s="3">
        <f>IFERROR(__xludf.DUMMYFUNCTION("""COMPUTED_VALUE"""),46147.7214103588)</f>
        <v>46147.72141</v>
      </c>
      <c r="B126" s="2" t="str">
        <f>IFERROR(__xludf.DUMMYFUNCTION("""COMPUTED_VALUE"""),"N/A")</f>
        <v>N/A</v>
      </c>
      <c r="C126" s="2" t="str">
        <f>IFERROR(__xludf.DUMMYFUNCTION("""COMPUTED_VALUE"""),"N/A")</f>
        <v>N/A</v>
      </c>
    </row>
    <row r="127">
      <c r="A127" s="3">
        <f>IFERROR(__xludf.DUMMYFUNCTION("""COMPUTED_VALUE"""),46147.72203809027)</f>
        <v>46147.72204</v>
      </c>
      <c r="B127" s="2" t="str">
        <f>IFERROR(__xludf.DUMMYFUNCTION("""COMPUTED_VALUE"""),"no comment")</f>
        <v>no comment</v>
      </c>
      <c r="C127" s="2" t="str">
        <f>IFERROR(__xludf.DUMMYFUNCTION("""COMPUTED_VALUE"""),"no comment")</f>
        <v>no comment</v>
      </c>
    </row>
    <row r="128">
      <c r="A128" s="3">
        <f>IFERROR(__xludf.DUMMYFUNCTION("""COMPUTED_VALUE"""),46147.726988449074)</f>
        <v>46147.72699</v>
      </c>
      <c r="B128" s="2" t="str">
        <f>IFERROR(__xludf.DUMMYFUNCTION("""COMPUTED_VALUE"""),"N/A")</f>
        <v>N/A</v>
      </c>
      <c r="C128" s="2" t="str">
        <f>IFERROR(__xludf.DUMMYFUNCTION("""COMPUTED_VALUE"""),"N/A")</f>
        <v>N/A</v>
      </c>
    </row>
    <row r="129">
      <c r="A129" s="3">
        <f>IFERROR(__xludf.DUMMYFUNCTION("""COMPUTED_VALUE"""),46147.72760849537)</f>
        <v>46147.72761</v>
      </c>
      <c r="B129" s="2" t="str">
        <f>IFERROR(__xludf.DUMMYFUNCTION("""COMPUTED_VALUE"""),"great ")</f>
        <v>great </v>
      </c>
      <c r="C129" s="2" t="str">
        <f>IFERROR(__xludf.DUMMYFUNCTION("""COMPUTED_VALUE"""),"none")</f>
        <v>none</v>
      </c>
    </row>
    <row r="130">
      <c r="A130" s="3">
        <f>IFERROR(__xludf.DUMMYFUNCTION("""COMPUTED_VALUE"""),46147.729068877314)</f>
        <v>46147.72907</v>
      </c>
      <c r="B130" s="2" t="str">
        <f>IFERROR(__xludf.DUMMYFUNCTION("""COMPUTED_VALUE"""),"it's good")</f>
        <v>it's good</v>
      </c>
      <c r="C130" s="2" t="str">
        <f>IFERROR(__xludf.DUMMYFUNCTION("""COMPUTED_VALUE"""),"none")</f>
        <v>none</v>
      </c>
    </row>
    <row r="131">
      <c r="A131" s="3">
        <f>IFERROR(__xludf.DUMMYFUNCTION("""COMPUTED_VALUE"""),46147.729095601855)</f>
        <v>46147.7291</v>
      </c>
      <c r="B131" s="2" t="str">
        <f>IFERROR(__xludf.DUMMYFUNCTION("""COMPUTED_VALUE"""),"Good")</f>
        <v>Good</v>
      </c>
      <c r="C131" s="2" t="str">
        <f>IFERROR(__xludf.DUMMYFUNCTION("""COMPUTED_VALUE"""),"Non ")</f>
        <v>Non </v>
      </c>
    </row>
    <row r="132">
      <c r="A132" s="3">
        <f>IFERROR(__xludf.DUMMYFUNCTION("""COMPUTED_VALUE"""),46147.729384872684)</f>
        <v>46147.72938</v>
      </c>
      <c r="B132" s="2" t="str">
        <f>IFERROR(__xludf.DUMMYFUNCTION("""COMPUTED_VALUE"""),"The services provided by the office are efficient, helpful, and well-organized. The staff are approachable, responsive, and provide clear assistance to clients. Overall, the office delivers quality service, although improvements in waiting time and commun"&amp;"ication can still be made.")</f>
        <v>The services provided by the office are efficient, helpful, and well-organized. The staff are approachable, responsive, and provide clear assistance to clients. Overall, the office delivers quality service, although improvements in waiting time and communication can still be made.</v>
      </c>
      <c r="C132" s="2" t="str">
        <f>IFERROR(__xludf.DUMMYFUNCTION("""COMPUTED_VALUE"""),"My suggestions to improve customer experience with this office are to provide faster service, improve communication with clients, maintain a friendly and approachable staff, and ensure that information and processes are clear and organized. Adding more co"&amp;"mfortable waiting areas and offering online services can also help make transactions more convenient.")</f>
        <v>My suggestions to improve customer experience with this office are to provide faster service, improve communication with clients, maintain a friendly and approachable staff, and ensure that information and processes are clear and organized. Adding more comfortable waiting areas and offering online services can also help make transactions more convenient.</v>
      </c>
    </row>
    <row r="133">
      <c r="A133" s="3">
        <f>IFERROR(__xludf.DUMMYFUNCTION("""COMPUTED_VALUE"""),46147.72945092592)</f>
        <v>46147.72945</v>
      </c>
      <c r="B133" s="2" t="str">
        <f>IFERROR(__xludf.DUMMYFUNCTION("""COMPUTED_VALUE"""),"N/A")</f>
        <v>N/A</v>
      </c>
      <c r="C133" s="2" t="str">
        <f>IFERROR(__xludf.DUMMYFUNCTION("""COMPUTED_VALUE"""),"N/A")</f>
        <v>N/A</v>
      </c>
    </row>
    <row r="134">
      <c r="A134" s="3">
        <f>IFERROR(__xludf.DUMMYFUNCTION("""COMPUTED_VALUE"""),46147.73531326389)</f>
        <v>46147.73531</v>
      </c>
      <c r="B134" s="2" t="str">
        <f>IFERROR(__xludf.DUMMYFUNCTION("""COMPUTED_VALUE"""),"Its very good")</f>
        <v>Its very good</v>
      </c>
      <c r="C134" s="2" t="str">
        <f>IFERROR(__xludf.DUMMYFUNCTION("""COMPUTED_VALUE"""),"Happy")</f>
        <v>Happy</v>
      </c>
    </row>
    <row r="135">
      <c r="A135" s="3">
        <f>IFERROR(__xludf.DUMMYFUNCTION("""COMPUTED_VALUE"""),46147.73625130787)</f>
        <v>46147.73625</v>
      </c>
      <c r="B135" s="2" t="str">
        <f>IFERROR(__xludf.DUMMYFUNCTION("""COMPUTED_VALUE"""),"Good")</f>
        <v>Good</v>
      </c>
      <c r="C135" s="2" t="str">
        <f>IFERROR(__xludf.DUMMYFUNCTION("""COMPUTED_VALUE"""),"Working students shouldn't be grumpy")</f>
        <v>Working students shouldn't be grumpy</v>
      </c>
    </row>
    <row r="136">
      <c r="A136" s="3">
        <f>IFERROR(__xludf.DUMMYFUNCTION("""COMPUTED_VALUE"""),46147.73780869213)</f>
        <v>46147.73781</v>
      </c>
      <c r="B136" s="2" t="str">
        <f>IFERROR(__xludf.DUMMYFUNCTION("""COMPUTED_VALUE"""),"Good")</f>
        <v>Good</v>
      </c>
      <c r="C136" s="2" t="str">
        <f>IFERROR(__xludf.DUMMYFUNCTION("""COMPUTED_VALUE"""),"Good")</f>
        <v>Good</v>
      </c>
    </row>
    <row r="137">
      <c r="A137" s="3">
        <f>IFERROR(__xludf.DUMMYFUNCTION("""COMPUTED_VALUE"""),46147.73940736111)</f>
        <v>46147.73941</v>
      </c>
      <c r="B137" s="2" t="str">
        <f>IFERROR(__xludf.DUMMYFUNCTION("""COMPUTED_VALUE"""),"Very Good
")</f>
        <v>Very Good
</v>
      </c>
      <c r="C137" s="2" t="str">
        <f>IFERROR(__xludf.DUMMYFUNCTION("""COMPUTED_VALUE"""),"Friendlier and Accurate Schedules")</f>
        <v>Friendlier and Accurate Schedules</v>
      </c>
    </row>
    <row r="138">
      <c r="A138" s="3">
        <f>IFERROR(__xludf.DUMMYFUNCTION("""COMPUTED_VALUE"""),46147.75103755787)</f>
        <v>46147.75104</v>
      </c>
      <c r="B138" s="2" t="str">
        <f>IFERROR(__xludf.DUMMYFUNCTION("""COMPUTED_VALUE"""),"It's good and there's nothing to comment ")</f>
        <v>It's good and there's nothing to comment </v>
      </c>
      <c r="C138" s="2" t="str">
        <f>IFERROR(__xludf.DUMMYFUNCTION("""COMPUTED_VALUE"""),"Make it fastes")</f>
        <v>Make it fastes</v>
      </c>
    </row>
    <row r="139">
      <c r="A139" s="3">
        <f>IFERROR(__xludf.DUMMYFUNCTION("""COMPUTED_VALUE"""),46147.77631452546)</f>
        <v>46147.77631</v>
      </c>
      <c r="B139" s="2" t="str">
        <f>IFERROR(__xludf.DUMMYFUNCTION("""COMPUTED_VALUE"""),"N/A")</f>
        <v>N/A</v>
      </c>
      <c r="C139" s="2" t="str">
        <f>IFERROR(__xludf.DUMMYFUNCTION("""COMPUTED_VALUE"""),"N/A")</f>
        <v>N/A</v>
      </c>
    </row>
    <row r="140">
      <c r="A140" s="3">
        <f>IFERROR(__xludf.DUMMYFUNCTION("""COMPUTED_VALUE"""),46147.77857277778)</f>
        <v>46147.77857</v>
      </c>
      <c r="B140" s="2" t="str">
        <f>IFERROR(__xludf.DUMMYFUNCTION("""COMPUTED_VALUE"""),"its good namn po")</f>
        <v>its good namn po</v>
      </c>
      <c r="C140" s="2" t="str">
        <f>IFERROR(__xludf.DUMMYFUNCTION("""COMPUTED_VALUE"""),"nothing, they’re doing great!!")</f>
        <v>nothing, they’re doing great!!</v>
      </c>
    </row>
    <row r="141">
      <c r="A141" s="3">
        <f>IFERROR(__xludf.DUMMYFUNCTION("""COMPUTED_VALUE"""),46147.77982163195)</f>
        <v>46147.77982</v>
      </c>
      <c r="B141" s="2" t="str">
        <f>IFERROR(__xludf.DUMMYFUNCTION("""COMPUTED_VALUE"""),"Very fast transactions.")</f>
        <v>Very fast transactions.</v>
      </c>
      <c r="C141" s="2" t="str">
        <f>IFERROR(__xludf.DUMMYFUNCTION("""COMPUTED_VALUE"""),"Add chair or table outside office for students to use.")</f>
        <v>Add chair or table outside office for students to use.</v>
      </c>
    </row>
    <row r="142">
      <c r="A142" s="3">
        <f>IFERROR(__xludf.DUMMYFUNCTION("""COMPUTED_VALUE"""),46147.847105231485)</f>
        <v>46147.84711</v>
      </c>
      <c r="B142" s="2" t="str">
        <f>IFERROR(__xludf.DUMMYFUNCTION("""COMPUTED_VALUE"""),"None ")</f>
        <v>None </v>
      </c>
      <c r="C142" s="2" t="str">
        <f>IFERROR(__xludf.DUMMYFUNCTION("""COMPUTED_VALUE"""),"None")</f>
        <v>None</v>
      </c>
    </row>
    <row r="143">
      <c r="A143" s="3">
        <f>IFERROR(__xludf.DUMMYFUNCTION("""COMPUTED_VALUE"""),46147.85024925926)</f>
        <v>46147.85025</v>
      </c>
      <c r="B143" s="2" t="str">
        <f>IFERROR(__xludf.DUMMYFUNCTION("""COMPUTED_VALUE"""),"None")</f>
        <v>None</v>
      </c>
      <c r="C143" s="2" t="str">
        <f>IFERROR(__xludf.DUMMYFUNCTION("""COMPUTED_VALUE"""),"None")</f>
        <v>None</v>
      </c>
    </row>
    <row r="144">
      <c r="A144" s="3">
        <f>IFERROR(__xludf.DUMMYFUNCTION("""COMPUTED_VALUE"""),46147.92600847222)</f>
        <v>46147.92601</v>
      </c>
      <c r="B144" s="2" t="str">
        <f>IFERROR(__xludf.DUMMYFUNCTION("""COMPUTED_VALUE"""),"I have no comments as the services provided are satisfactory")</f>
        <v>I have no comments as the services provided are satisfactory</v>
      </c>
      <c r="C144" s="2" t="str">
        <f>IFERROR(__xludf.DUMMYFUNCTION("""COMPUTED_VALUE"""),"I have no suggestions as the customer service has been amicable ")</f>
        <v>I have no suggestions as the customer service has been amicable </v>
      </c>
    </row>
    <row r="145">
      <c r="A145" s="3">
        <f>IFERROR(__xludf.DUMMYFUNCTION("""COMPUTED_VALUE"""),46148.31080811343)</f>
        <v>46148.31081</v>
      </c>
      <c r="B145" s="2"/>
      <c r="C145" s="2" t="str">
        <f>IFERROR(__xludf.DUMMYFUNCTION("""COMPUTED_VALUE"""),"none")</f>
        <v>none</v>
      </c>
    </row>
    <row r="146">
      <c r="A146" s="3">
        <f>IFERROR(__xludf.DUMMYFUNCTION("""COMPUTED_VALUE"""),46148.393591851855)</f>
        <v>46148.39359</v>
      </c>
      <c r="B146" s="2" t="str">
        <f>IFERROR(__xludf.DUMMYFUNCTION("""COMPUTED_VALUE"""),"None ")</f>
        <v>None </v>
      </c>
      <c r="C146" s="2" t="str">
        <f>IFERROR(__xludf.DUMMYFUNCTION("""COMPUTED_VALUE"""),"None")</f>
        <v>None</v>
      </c>
    </row>
    <row r="147">
      <c r="A147" s="3">
        <f>IFERROR(__xludf.DUMMYFUNCTION("""COMPUTED_VALUE"""),46148.393974108796)</f>
        <v>46148.39397</v>
      </c>
      <c r="B147" s="2" t="str">
        <f>IFERROR(__xludf.DUMMYFUNCTION("""COMPUTED_VALUE"""),"Good")</f>
        <v>Good</v>
      </c>
      <c r="C147" s="2" t="str">
        <f>IFERROR(__xludf.DUMMYFUNCTION("""COMPUTED_VALUE"""),"Better")</f>
        <v>Better</v>
      </c>
    </row>
    <row r="148">
      <c r="A148" s="3">
        <f>IFERROR(__xludf.DUMMYFUNCTION("""COMPUTED_VALUE"""),46148.39507599537)</f>
        <v>46148.39508</v>
      </c>
      <c r="B148" s="2"/>
      <c r="C148" s="2" t="str">
        <f>IFERROR(__xludf.DUMMYFUNCTION("""COMPUTED_VALUE"""),"That the working students shouldn't be attitude anymore")</f>
        <v>That the working students shouldn't be attitude anymore</v>
      </c>
    </row>
    <row r="149">
      <c r="A149" s="3">
        <f>IFERROR(__xludf.DUMMYFUNCTION("""COMPUTED_VALUE"""),46148.40007653935)</f>
        <v>46148.40008</v>
      </c>
      <c r="B149" s="2" t="str">
        <f>IFERROR(__xludf.DUMMYFUNCTION("""COMPUTED_VALUE"""),"I'm studenr of CSO from hm department. Actually all of the behavior and attitudes are good")</f>
        <v>I'm studenr of CSO from hm department. Actually all of the behavior and attitudes are good</v>
      </c>
      <c r="C149" s="2" t="str">
        <f>IFERROR(__xludf.DUMMYFUNCTION("""COMPUTED_VALUE"""),"excellent, I hope to still maintain their good service ")</f>
        <v>excellent, I hope to still maintain their good service </v>
      </c>
    </row>
    <row r="150">
      <c r="A150" s="3">
        <f>IFERROR(__xludf.DUMMYFUNCTION("""COMPUTED_VALUE"""),46148.40057721065)</f>
        <v>46148.40058</v>
      </c>
      <c r="B150" s="2" t="str">
        <f>IFERROR(__xludf.DUMMYFUNCTION("""COMPUTED_VALUE"""),"Good")</f>
        <v>Good</v>
      </c>
      <c r="C150" s="2" t="str">
        <f>IFERROR(__xludf.DUMMYFUNCTION("""COMPUTED_VALUE"""),"Fast ")</f>
        <v>Fast </v>
      </c>
    </row>
    <row r="151">
      <c r="A151" s="3">
        <f>IFERROR(__xludf.DUMMYFUNCTION("""COMPUTED_VALUE"""),46148.40203650463)</f>
        <v>46148.40204</v>
      </c>
      <c r="B151" s="2" t="str">
        <f>IFERROR(__xludf.DUMMYFUNCTION("""COMPUTED_VALUE"""),"Good service")</f>
        <v>Good service</v>
      </c>
      <c r="C151" s="2" t="str">
        <f>IFERROR(__xludf.DUMMYFUNCTION("""COMPUTED_VALUE"""),"Nothing")</f>
        <v>Nothing</v>
      </c>
    </row>
    <row r="152">
      <c r="A152" s="3">
        <f>IFERROR(__xludf.DUMMYFUNCTION("""COMPUTED_VALUE"""),46148.40299030092)</f>
        <v>46148.40299</v>
      </c>
      <c r="B152" s="2" t="str">
        <f>IFERROR(__xludf.DUMMYFUNCTION("""COMPUTED_VALUE"""),"The office provides generally organized and helpful services to clients.")</f>
        <v>The office provides generally organized and helpful services to clients.</v>
      </c>
      <c r="C152" s="2" t="str">
        <f>IFERROR(__xludf.DUMMYFUNCTION("""COMPUTED_VALUE"""),"To improve customer experience, the office could focus on reducing waiting time by adding more staff or improving the queue system. ")</f>
        <v>To improve customer experience, the office could focus on reducing waiting time by adding more staff or improving the queue system. </v>
      </c>
    </row>
    <row r="153">
      <c r="A153" s="3">
        <f>IFERROR(__xludf.DUMMYFUNCTION("""COMPUTED_VALUE"""),46148.42966268519)</f>
        <v>46148.42966</v>
      </c>
      <c r="B153" s="2" t="str">
        <f>IFERROR(__xludf.DUMMYFUNCTION("""COMPUTED_VALUE"""),"none ")</f>
        <v>none </v>
      </c>
      <c r="C153" s="2" t="str">
        <f>IFERROR(__xludf.DUMMYFUNCTION("""COMPUTED_VALUE"""),"none")</f>
        <v>none</v>
      </c>
    </row>
    <row r="154">
      <c r="A154" s="3">
        <f>IFERROR(__xludf.DUMMYFUNCTION("""COMPUTED_VALUE"""),46148.51393277777)</f>
        <v>46148.51393</v>
      </c>
      <c r="B154" s="2" t="str">
        <f>IFERROR(__xludf.DUMMYFUNCTION("""COMPUTED_VALUE"""),"The services offered by the office are generally good and helpful. Staff members are approachable and willing to assist, and most of the processes are clear enough to follow. While there are times when waiting takes a bit longer than expected.")</f>
        <v>The services offered by the office are generally good and helpful. Staff members are approachable and willing to assist, and most of the processes are clear enough to follow. While there are times when waiting takes a bit longer than expected.</v>
      </c>
      <c r="C154" s="2" t="str">
        <f>IFERROR(__xludf.DUMMYFUNCTION("""COMPUTED_VALUE"""),"Post updated guidelines or announcements more visibly so students don’t get confused.")</f>
        <v>Post updated guidelines or announcements more visibly so students don’t get confused.</v>
      </c>
    </row>
    <row r="155">
      <c r="A155" s="3">
        <f>IFERROR(__xludf.DUMMYFUNCTION("""COMPUTED_VALUE"""),46148.862653020835)</f>
        <v>46148.86265</v>
      </c>
      <c r="B155" s="2" t="str">
        <f>IFERROR(__xludf.DUMMYFUNCTION("""COMPUTED_VALUE"""),"The transaction was completed successfully, and the staff was professional.")</f>
        <v>The transaction was completed successfully, and the staff was professional.</v>
      </c>
      <c r="C155" s="2" t="str">
        <f>IFERROR(__xludf.DUMMYFUNCTION("""COMPUTED_VALUE"""),"The service was efficient and met all my expectations. No further suggestions")</f>
        <v>The service was efficient and met all my expectations. No further suggestions</v>
      </c>
    </row>
    <row r="156">
      <c r="A156" s="3">
        <f>IFERROR(__xludf.DUMMYFUNCTION("""COMPUTED_VALUE"""),46149.71828753472)</f>
        <v>46149.71829</v>
      </c>
      <c r="B156" s="2" t="str">
        <f>IFERROR(__xludf.DUMMYFUNCTION("""COMPUTED_VALUE"""),"Professional and attentive ")</f>
        <v>Professional and attentive </v>
      </c>
      <c r="C156" s="2"/>
    </row>
    <row r="157">
      <c r="A157" s="3">
        <f>IFERROR(__xludf.DUMMYFUNCTION("""COMPUTED_VALUE"""),46149.822005752314)</f>
        <v>46149.82201</v>
      </c>
      <c r="B157" s="2" t="str">
        <f>IFERROR(__xludf.DUMMYFUNCTION("""COMPUTED_VALUE"""),"None")</f>
        <v>None</v>
      </c>
      <c r="C157" s="2" t="str">
        <f>IFERROR(__xludf.DUMMYFUNCTION("""COMPUTED_VALUE"""),"None")</f>
        <v>None</v>
      </c>
    </row>
    <row r="158">
      <c r="A158" s="3">
        <f>IFERROR(__xludf.DUMMYFUNCTION("""COMPUTED_VALUE"""),46150.55779289352)</f>
        <v>46150.55779</v>
      </c>
      <c r="B158" s="2" t="str">
        <f>IFERROR(__xludf.DUMMYFUNCTION("""COMPUTED_VALUE"""),"Very good")</f>
        <v>Very good</v>
      </c>
      <c r="C158" s="2" t="str">
        <f>IFERROR(__xludf.DUMMYFUNCTION("""COMPUTED_VALUE"""),"Nothing")</f>
        <v>Nothing</v>
      </c>
    </row>
    <row r="159">
      <c r="A159" s="3">
        <f>IFERROR(__xludf.DUMMYFUNCTION("""COMPUTED_VALUE"""),46151.34146962963)</f>
        <v>46151.34147</v>
      </c>
      <c r="B159" s="2" t="str">
        <f>IFERROR(__xludf.DUMMYFUNCTION("""COMPUTED_VALUE"""),"The NSTP office provides organized and helpful services to students. The staff are approachable and assist students properly with their concerns and requirements.")</f>
        <v>The NSTP office provides organized and helpful services to students. The staff are approachable and assist students properly with their concerns and requirements.</v>
      </c>
      <c r="C159" s="2" t="str">
        <f>IFERROR(__xludf.DUMMYFUNCTION("""COMPUTED_VALUE"""),"To improve customer experience, the NSTP office may provide faster transactions, clearer announcements, and more updated information for students.")</f>
        <v>To improve customer experience, the NSTP office may provide faster transactions, clearer announcements, and more updated information for students.</v>
      </c>
    </row>
    <row r="160">
      <c r="A160" s="3">
        <f>IFERROR(__xludf.DUMMYFUNCTION("""COMPUTED_VALUE"""),46151.37593490741)</f>
        <v>46151.37593</v>
      </c>
      <c r="B160" s="2" t="str">
        <f>IFERROR(__xludf.DUMMYFUNCTION("""COMPUTED_VALUE"""),"N/a")</f>
        <v>N/a</v>
      </c>
      <c r="C160" s="2" t="str">
        <f>IFERROR(__xludf.DUMMYFUNCTION("""COMPUTED_VALUE"""),"N/A")</f>
        <v>N/A</v>
      </c>
    </row>
    <row r="161">
      <c r="A161" s="3">
        <f>IFERROR(__xludf.DUMMYFUNCTION("""COMPUTED_VALUE"""),46151.37819938657)</f>
        <v>46151.3782</v>
      </c>
      <c r="B161" s="2" t="str">
        <f>IFERROR(__xludf.DUMMYFUNCTION("""COMPUTED_VALUE"""),"none")</f>
        <v>none</v>
      </c>
      <c r="C161" s="2" t="str">
        <f>IFERROR(__xludf.DUMMYFUNCTION("""COMPUTED_VALUE"""),"none")</f>
        <v>none</v>
      </c>
    </row>
    <row r="162">
      <c r="A162" s="3">
        <f>IFERROR(__xludf.DUMMYFUNCTION("""COMPUTED_VALUE"""),46170.58151230324)</f>
        <v>46170.58151</v>
      </c>
      <c r="B162" s="2" t="str">
        <f>IFERROR(__xludf.DUMMYFUNCTION("""COMPUTED_VALUE"""),"Good")</f>
        <v>Good</v>
      </c>
      <c r="C162" s="2" t="str">
        <f>IFERROR(__xludf.DUMMYFUNCTION("""COMPUTED_VALUE"""),"Bigger and better ambiance ")</f>
        <v>Bigger and better ambiance </v>
      </c>
    </row>
    <row r="163">
      <c r="A163" s="3">
        <f>IFERROR(__xludf.DUMMYFUNCTION("""COMPUTED_VALUE"""),46172.37358493055)</f>
        <v>46172.37358</v>
      </c>
      <c r="B163" s="2" t="str">
        <f>IFERROR(__xludf.DUMMYFUNCTION("""COMPUTED_VALUE"""),"None")</f>
        <v>None</v>
      </c>
      <c r="C163" s="2" t="str">
        <f>IFERROR(__xludf.DUMMYFUNCTION("""COMPUTED_VALUE"""),"None")</f>
        <v>None</v>
      </c>
    </row>
    <row r="164">
      <c r="A164" s="3">
        <f>IFERROR(__xludf.DUMMYFUNCTION("""COMPUTED_VALUE"""),46177.40548006944)</f>
        <v>46177.40548</v>
      </c>
      <c r="B164" s="2" t="str">
        <f>IFERROR(__xludf.DUMMYFUNCTION("""COMPUTED_VALUE"""),"smooth and provided good service")</f>
        <v>smooth and provided good service</v>
      </c>
      <c r="C164" s="2" t="str">
        <f>IFERROR(__xludf.DUMMYFUNCTION("""COMPUTED_VALUE"""),"none")</f>
        <v>none</v>
      </c>
    </row>
    <row r="165">
      <c r="A165" s="3">
        <f>IFERROR(__xludf.DUMMYFUNCTION("""COMPUTED_VALUE"""),46183.29620208334)</f>
        <v>46183.2962</v>
      </c>
      <c r="B165" s="2" t="str">
        <f>IFERROR(__xludf.DUMMYFUNCTION("""COMPUTED_VALUE"""),"N/A")</f>
        <v>N/A</v>
      </c>
      <c r="C165" s="2" t="str">
        <f>IFERROR(__xludf.DUMMYFUNCTION("""COMPUTED_VALUE"""),"N/A")</f>
        <v>N/A</v>
      </c>
    </row>
    <row r="166">
      <c r="A166" s="3">
        <f>IFERROR(__xludf.DUMMYFUNCTION("""COMPUTED_VALUE"""),46230.4557980324)</f>
        <v>46230.4558</v>
      </c>
      <c r="B166" s="2" t="str">
        <f>IFERROR(__xludf.DUMMYFUNCTION("""COMPUTED_VALUE"""),"My transaction went smooth and that’s a 10 for an office. ")</f>
        <v>My transaction went smooth and that’s a 10 for an office. </v>
      </c>
      <c r="C166" s="2" t="str">
        <f>IFERROR(__xludf.DUMMYFUNCTION("""COMPUTED_VALUE"""),"None")</f>
        <v>None</v>
      </c>
    </row>
    <row r="167">
      <c r="A167" s="3">
        <f>IFERROR(__xludf.DUMMYFUNCTION("""COMPUTED_VALUE"""),46260.596111736115)</f>
        <v>46260.59611</v>
      </c>
      <c r="B167" s="2" t="str">
        <f>IFERROR(__xludf.DUMMYFUNCTION("""COMPUTED_VALUE"""),"Very accommodating ")</f>
        <v>Very accommodating </v>
      </c>
      <c r="C167" s="2"/>
    </row>
    <row r="168">
      <c r="A168" s="3">
        <f>IFERROR(__xludf.DUMMYFUNCTION("""COMPUTED_VALUE"""),46286.49119793982)</f>
        <v>46286.4912</v>
      </c>
      <c r="B168" s="2" t="str">
        <f>IFERROR(__xludf.DUMMYFUNCTION("""COMPUTED_VALUE"""),"None")</f>
        <v>None</v>
      </c>
      <c r="C168" s="2" t="str">
        <f>IFERROR(__xludf.DUMMYFUNCTION("""COMPUTED_VALUE"""),"None")</f>
        <v>None</v>
      </c>
    </row>
    <row r="169">
      <c r="A169" s="3">
        <f>IFERROR(__xludf.DUMMYFUNCTION("""COMPUTED_VALUE"""),46303.46358428241)</f>
        <v>46303.46358</v>
      </c>
      <c r="B169" s="2" t="str">
        <f>IFERROR(__xludf.DUMMYFUNCTION("""COMPUTED_VALUE"""),"—")</f>
        <v>—</v>
      </c>
      <c r="C169" s="2" t="str">
        <f>IFERROR(__xludf.DUMMYFUNCTION("""COMPUTED_VALUE"""),"—")</f>
        <v>—</v>
      </c>
    </row>
    <row r="170">
      <c r="A170" s="3">
        <f>IFERROR(__xludf.DUMMYFUNCTION("""COMPUTED_VALUE"""),46303.46367769676)</f>
        <v>46303.46368</v>
      </c>
      <c r="B170" s="2" t="str">
        <f>IFERROR(__xludf.DUMMYFUNCTION("""COMPUTED_VALUE"""),"No comment ")</f>
        <v>No comment </v>
      </c>
      <c r="C170" s="2" t="str">
        <f>IFERROR(__xludf.DUMMYFUNCTION("""COMPUTED_VALUE"""),"Nothing ")</f>
        <v>Nothing </v>
      </c>
    </row>
    <row r="171">
      <c r="A171" s="3">
        <f>IFERROR(__xludf.DUMMYFUNCTION("""COMPUTED_VALUE"""),46303.463698796295)</f>
        <v>46303.4637</v>
      </c>
      <c r="B171" s="2" t="str">
        <f>IFERROR(__xludf.DUMMYFUNCTION("""COMPUTED_VALUE"""),"N/A")</f>
        <v>N/A</v>
      </c>
      <c r="C171" s="2" t="str">
        <f>IFERROR(__xludf.DUMMYFUNCTION("""COMPUTED_VALUE"""),"N/A")</f>
        <v>N/A</v>
      </c>
    </row>
    <row r="172">
      <c r="A172" s="3">
        <f>IFERROR(__xludf.DUMMYFUNCTION("""COMPUTED_VALUE"""),46303.46381548611)</f>
        <v>46303.46382</v>
      </c>
      <c r="B172" s="2" t="str">
        <f>IFERROR(__xludf.DUMMYFUNCTION("""COMPUTED_VALUE"""),"no comment")</f>
        <v>no comment</v>
      </c>
      <c r="C172" s="2" t="str">
        <f>IFERROR(__xludf.DUMMYFUNCTION("""COMPUTED_VALUE"""),"nothing 
")</f>
        <v>nothing 
</v>
      </c>
    </row>
    <row r="173">
      <c r="A173" s="3">
        <f>IFERROR(__xludf.DUMMYFUNCTION("""COMPUTED_VALUE"""),46303.46415568287)</f>
        <v>46303.46416</v>
      </c>
      <c r="B173" s="2" t="str">
        <f>IFERROR(__xludf.DUMMYFUNCTION("""COMPUTED_VALUE"""),"good")</f>
        <v>good</v>
      </c>
      <c r="C173" s="2" t="str">
        <f>IFERROR(__xludf.DUMMYFUNCTION("""COMPUTED_VALUE"""),"none")</f>
        <v>none</v>
      </c>
    </row>
    <row r="174">
      <c r="A174" s="3">
        <f>IFERROR(__xludf.DUMMYFUNCTION("""COMPUTED_VALUE"""),46303.464318541664)</f>
        <v>46303.46432</v>
      </c>
      <c r="B174" s="2" t="str">
        <f>IFERROR(__xludf.DUMMYFUNCTION("""COMPUTED_VALUE"""),"Nothing, but everything is fine. I love fcu 💎")</f>
        <v>Nothing, but everything is fine. I love fcu 💎</v>
      </c>
      <c r="C174" s="2" t="str">
        <f>IFERROR(__xludf.DUMMYFUNCTION("""COMPUTED_VALUE"""),"None! ")</f>
        <v>None! </v>
      </c>
    </row>
    <row r="175">
      <c r="A175" s="3">
        <f>IFERROR(__xludf.DUMMYFUNCTION("""COMPUTED_VALUE"""),46303.46475479167)</f>
        <v>46303.46475</v>
      </c>
      <c r="B175" s="2" t="str">
        <f>IFERROR(__xludf.DUMMYFUNCTION("""COMPUTED_VALUE"""),"The staff were friendly, accommodating, and professional. The transaction was smooth, convenient, and easy to understand.")</f>
        <v>The staff were friendly, accommodating, and professional. The transaction was smooth, convenient, and easy to understand.</v>
      </c>
      <c r="C175" s="2" t="str">
        <f>IFERROR(__xludf.DUMMYFUNCTION("""COMPUTED_VALUE"""),"The service is already good. I suggest continuing to provide fast, clear, and friendly assistance to customers.")</f>
        <v>The service is already good. I suggest continuing to provide fast, clear, and friendly assistance to customers.</v>
      </c>
    </row>
    <row r="176">
      <c r="A176" s="3">
        <f>IFERROR(__xludf.DUMMYFUNCTION("""COMPUTED_VALUE"""),46303.46475557871)</f>
        <v>46303.46476</v>
      </c>
      <c r="B176" s="2" t="str">
        <f>IFERROR(__xludf.DUMMYFUNCTION("""COMPUTED_VALUE"""),"Good and reliable ")</f>
        <v>Good and reliable </v>
      </c>
      <c r="C176" s="2" t="str">
        <f>IFERROR(__xludf.DUMMYFUNCTION("""COMPUTED_VALUE"""),"N/A")</f>
        <v>N/A</v>
      </c>
    </row>
    <row r="177">
      <c r="A177" s="3">
        <f>IFERROR(__xludf.DUMMYFUNCTION("""COMPUTED_VALUE"""),46303.46484973379)</f>
        <v>46303.46485</v>
      </c>
      <c r="B177" s="2" t="str">
        <f>IFERROR(__xludf.DUMMYFUNCTION("""COMPUTED_VALUE"""),"Okay")</f>
        <v>Okay</v>
      </c>
      <c r="C177" s="2" t="str">
        <f>IFERROR(__xludf.DUMMYFUNCTION("""COMPUTED_VALUE"""),"None")</f>
        <v>None</v>
      </c>
    </row>
    <row r="178">
      <c r="A178" s="3">
        <f>IFERROR(__xludf.DUMMYFUNCTION("""COMPUTED_VALUE"""),46303.46503215277)</f>
        <v>46303.46503</v>
      </c>
      <c r="B178" s="2" t="str">
        <f>IFERROR(__xludf.DUMMYFUNCTION("""COMPUTED_VALUE"""),"N/A")</f>
        <v>N/A</v>
      </c>
      <c r="C178" s="2" t="str">
        <f>IFERROR(__xludf.DUMMYFUNCTION("""COMPUTED_VALUE"""),"N/A")</f>
        <v>N/A</v>
      </c>
    </row>
    <row r="179">
      <c r="A179" s="3">
        <f>IFERROR(__xludf.DUMMYFUNCTION("""COMPUTED_VALUE"""),46303.46599384259)</f>
        <v>46303.46599</v>
      </c>
      <c r="B179" s="2" t="str">
        <f>IFERROR(__xludf.DUMMYFUNCTION("""COMPUTED_VALUE"""),"N/A
")</f>
        <v>N/A
</v>
      </c>
      <c r="C179" s="2" t="str">
        <f>IFERROR(__xludf.DUMMYFUNCTION("""COMPUTED_VALUE"""),"N/A")</f>
        <v>N/A</v>
      </c>
    </row>
    <row r="180">
      <c r="A180" s="3">
        <f>IFERROR(__xludf.DUMMYFUNCTION("""COMPUTED_VALUE"""),46303.4679731713)</f>
        <v>46303.46797</v>
      </c>
      <c r="B180" s="2" t="str">
        <f>IFERROR(__xludf.DUMMYFUNCTION("""COMPUTED_VALUE"""),"The office provides efficient and reliable services. The staff are approachable, helpful, and process requests in a timely manner.
")</f>
        <v>The office provides efficient and reliable services. The staff are approachable, helpful, and process requests in a timely manner.
</v>
      </c>
      <c r="C180" s="2" t="str">
        <f>IFERROR(__xludf.DUMMYFUNCTION("""COMPUTED_VALUE"""),"The office may improve customer experience by reducing waiting time, providing clearer information, and offering more convenient online services.")</f>
        <v>The office may improve customer experience by reducing waiting time, providing clearer information, and offering more convenient online services.</v>
      </c>
    </row>
    <row r="181">
      <c r="A181" s="3">
        <f>IFERROR(__xludf.DUMMYFUNCTION("""COMPUTED_VALUE"""),46303.468130891204)</f>
        <v>46303.46813</v>
      </c>
      <c r="B181" s="2" t="str">
        <f>IFERROR(__xludf.DUMMYFUNCTION("""COMPUTED_VALUE"""),"Verygood")</f>
        <v>Verygood</v>
      </c>
      <c r="C181" s="2"/>
    </row>
    <row r="182">
      <c r="A182" s="3">
        <f>IFERROR(__xludf.DUMMYFUNCTION("""COMPUTED_VALUE"""),46303.480943483795)</f>
        <v>46303.48094</v>
      </c>
      <c r="B182" s="2" t="str">
        <f>IFERROR(__xludf.DUMMYFUNCTION("""COMPUTED_VALUE"""),"Good")</f>
        <v>Good</v>
      </c>
      <c r="C182" s="2" t="str">
        <f>IFERROR(__xludf.DUMMYFUNCTION("""COMPUTED_VALUE"""),"I'm suggest to to good communication ")</f>
        <v>I'm suggest to to good communication </v>
      </c>
    </row>
    <row r="183">
      <c r="A183" s="3">
        <f>IFERROR(__xludf.DUMMYFUNCTION("""COMPUTED_VALUE"""),46303.481395243056)</f>
        <v>46303.4814</v>
      </c>
      <c r="B183" s="2" t="str">
        <f>IFERROR(__xludf.DUMMYFUNCTION("""COMPUTED_VALUE"""),"Good")</f>
        <v>Good</v>
      </c>
      <c r="C183" s="2" t="str">
        <f>IFERROR(__xludf.DUMMYFUNCTION("""COMPUTED_VALUE"""),"None")</f>
        <v>None</v>
      </c>
    </row>
    <row r="184">
      <c r="A184" s="3">
        <f>IFERROR(__xludf.DUMMYFUNCTION("""COMPUTED_VALUE"""),46303.48146332176)</f>
        <v>46303.48146</v>
      </c>
      <c r="B184" s="2" t="str">
        <f>IFERROR(__xludf.DUMMYFUNCTION("""COMPUTED_VALUE"""),"Good")</f>
        <v>Good</v>
      </c>
      <c r="C184" s="2" t="str">
        <f>IFERROR(__xludf.DUMMYFUNCTION("""COMPUTED_VALUE"""),"Make a good communication")</f>
        <v>Make a good communication</v>
      </c>
    </row>
    <row r="185">
      <c r="A185" s="3">
        <f>IFERROR(__xludf.DUMMYFUNCTION("""COMPUTED_VALUE"""),46303.481511817125)</f>
        <v>46303.48151</v>
      </c>
      <c r="B185" s="2" t="str">
        <f>IFERROR(__xludf.DUMMYFUNCTION("""COMPUTED_VALUE"""),"Nothing its all goods")</f>
        <v>Nothing its all goods</v>
      </c>
      <c r="C185" s="2" t="str">
        <f>IFERROR(__xludf.DUMMYFUNCTION("""COMPUTED_VALUE"""),"Nothing to improved it’s all perfect ")</f>
        <v>Nothing to improved it’s all perfect </v>
      </c>
    </row>
    <row r="186">
      <c r="A186" s="3">
        <f>IFERROR(__xludf.DUMMYFUNCTION("""COMPUTED_VALUE"""),46303.48160983797)</f>
        <v>46303.48161</v>
      </c>
      <c r="B186" s="2" t="str">
        <f>IFERROR(__xludf.DUMMYFUNCTION("""COMPUTED_VALUE"""),"Nice good")</f>
        <v>Nice good</v>
      </c>
      <c r="C186" s="2" t="str">
        <f>IFERROR(__xludf.DUMMYFUNCTION("""COMPUTED_VALUE"""),"To nice communication ")</f>
        <v>To nice communication </v>
      </c>
    </row>
    <row r="187">
      <c r="A187" s="3">
        <f>IFERROR(__xludf.DUMMYFUNCTION("""COMPUTED_VALUE"""),46303.48163255787)</f>
        <v>46303.48163</v>
      </c>
      <c r="B187" s="2" t="str">
        <f>IFERROR(__xludf.DUMMYFUNCTION("""COMPUTED_VALUE"""),"Good")</f>
        <v>Good</v>
      </c>
      <c r="C187" s="2" t="str">
        <f>IFERROR(__xludf.DUMMYFUNCTION("""COMPUTED_VALUE"""),"Provide faster and more organized service.")</f>
        <v>Provide faster and more organized service.</v>
      </c>
    </row>
    <row r="188">
      <c r="A188" s="3">
        <f>IFERROR(__xludf.DUMMYFUNCTION("""COMPUTED_VALUE"""),46303.48169552084)</f>
        <v>46303.4817</v>
      </c>
      <c r="B188" s="2"/>
      <c r="C188" s="2" t="str">
        <f>IFERROR(__xludf.DUMMYFUNCTION("""COMPUTED_VALUE"""),"Good teaching ")</f>
        <v>Good teaching </v>
      </c>
    </row>
    <row r="189">
      <c r="A189" s="3">
        <f>IFERROR(__xludf.DUMMYFUNCTION("""COMPUTED_VALUE"""),46303.48187876157)</f>
        <v>46303.48188</v>
      </c>
      <c r="B189" s="2" t="str">
        <f>IFERROR(__xludf.DUMMYFUNCTION("""COMPUTED_VALUE"""),"Good")</f>
        <v>Good</v>
      </c>
      <c r="C189" s="2" t="str">
        <f>IFERROR(__xludf.DUMMYFUNCTION("""COMPUTED_VALUE"""),"Make good cummunication")</f>
        <v>Make good cummunication</v>
      </c>
    </row>
    <row r="190">
      <c r="A190" s="3">
        <f>IFERROR(__xludf.DUMMYFUNCTION("""COMPUTED_VALUE"""),46303.48193998843)</f>
        <v>46303.48194</v>
      </c>
      <c r="B190" s="2" t="str">
        <f>IFERROR(__xludf.DUMMYFUNCTION("""COMPUTED_VALUE"""),"All goods, they provide good services")</f>
        <v>All goods, they provide good services</v>
      </c>
      <c r="C190" s="2" t="str">
        <f>IFERROR(__xludf.DUMMYFUNCTION("""COMPUTED_VALUE"""),"Nothing, because it still good serve")</f>
        <v>Nothing, because it still good serve</v>
      </c>
    </row>
    <row r="191">
      <c r="A191" s="3">
        <f>IFERROR(__xludf.DUMMYFUNCTION("""COMPUTED_VALUE"""),46303.48211534722)</f>
        <v>46303.48212</v>
      </c>
      <c r="B191" s="2" t="str">
        <f>IFERROR(__xludf.DUMMYFUNCTION("""COMPUTED_VALUE"""),"N/A")</f>
        <v>N/A</v>
      </c>
      <c r="C191" s="2" t="str">
        <f>IFERROR(__xludf.DUMMYFUNCTION("""COMPUTED_VALUE"""),"N/A")</f>
        <v>N/A</v>
      </c>
    </row>
    <row r="192">
      <c r="A192" s="3">
        <f>IFERROR(__xludf.DUMMYFUNCTION("""COMPUTED_VALUE"""),46303.482381724534)</f>
        <v>46303.48238</v>
      </c>
      <c r="B192" s="2" t="str">
        <f>IFERROR(__xludf.DUMMYFUNCTION("""COMPUTED_VALUE"""),"Very good sevives ")</f>
        <v>Very good sevives </v>
      </c>
      <c r="C192" s="2" t="str">
        <f>IFERROR(__xludf.DUMMYFUNCTION("""COMPUTED_VALUE"""),"I don't have any suggestions, because it was treated me fairly already.")</f>
        <v>I don't have any suggestions, because it was treated me fairly already.</v>
      </c>
    </row>
    <row r="193">
      <c r="A193" s="3">
        <f>IFERROR(__xludf.DUMMYFUNCTION("""COMPUTED_VALUE"""),46303.48305913195)</f>
        <v>46303.48306</v>
      </c>
      <c r="B193" s="2" t="str">
        <f>IFERROR(__xludf.DUMMYFUNCTION("""COMPUTED_VALUE"""),"Good")</f>
        <v>Good</v>
      </c>
      <c r="C193" s="2" t="str">
        <f>IFERROR(__xludf.DUMMYFUNCTION("""COMPUTED_VALUE"""),"Good communication and easy to approach")</f>
        <v>Good communication and easy to approach</v>
      </c>
    </row>
    <row r="194">
      <c r="A194" s="3">
        <f>IFERROR(__xludf.DUMMYFUNCTION("""COMPUTED_VALUE"""),46303.48319831019)</f>
        <v>46303.4832</v>
      </c>
      <c r="B194" s="2" t="str">
        <f>IFERROR(__xludf.DUMMYFUNCTION("""COMPUTED_VALUE"""),"Good")</f>
        <v>Good</v>
      </c>
      <c r="C194" s="2" t="str">
        <f>IFERROR(__xludf.DUMMYFUNCTION("""COMPUTED_VALUE"""),"Don't pressure them")</f>
        <v>Don't pressure them</v>
      </c>
    </row>
    <row r="195">
      <c r="A195" s="3">
        <f>IFERROR(__xludf.DUMMYFUNCTION("""COMPUTED_VALUE"""),46303.48362341435)</f>
        <v>46303.48362</v>
      </c>
      <c r="B195" s="2" t="str">
        <f>IFERROR(__xludf.DUMMYFUNCTION("""COMPUTED_VALUE"""),"good ")</f>
        <v>good </v>
      </c>
      <c r="C195" s="2" t="str">
        <f>IFERROR(__xludf.DUMMYFUNCTION("""COMPUTED_VALUE"""),"yung sa gym sobrang init")</f>
        <v>yung sa gym sobrang init</v>
      </c>
    </row>
    <row r="196">
      <c r="A196" s="3">
        <f>IFERROR(__xludf.DUMMYFUNCTION("""COMPUTED_VALUE"""),46303.48382980324)</f>
        <v>46303.48383</v>
      </c>
      <c r="B196" s="2" t="str">
        <f>IFERROR(__xludf.DUMMYFUNCTION("""COMPUTED_VALUE"""),"So far so good, the staffs are very welcoming and easy to communicate.")</f>
        <v>So far so good, the staffs are very welcoming and easy to communicate.</v>
      </c>
      <c r="C196" s="2" t="str">
        <f>IFERROR(__xludf.DUMMYFUNCTION("""COMPUTED_VALUE"""),"Stay approachable when ask by students and speak nicely to them so that they won't feel scared when they have something to ask.")</f>
        <v>Stay approachable when ask by students and speak nicely to them so that they won't feel scared when they have something to ask.</v>
      </c>
    </row>
    <row r="197">
      <c r="A197" s="3">
        <f>IFERROR(__xludf.DUMMYFUNCTION("""COMPUTED_VALUE"""),46303.48463225694)</f>
        <v>46303.48463</v>
      </c>
      <c r="B197" s="2" t="str">
        <f>IFERROR(__xludf.DUMMYFUNCTION("""COMPUTED_VALUE"""),"N/a")</f>
        <v>N/a</v>
      </c>
      <c r="C197" s="2" t="str">
        <f>IFERROR(__xludf.DUMMYFUNCTION("""COMPUTED_VALUE"""),"N/a")</f>
        <v>N/a</v>
      </c>
    </row>
    <row r="198">
      <c r="A198" s="3">
        <f>IFERROR(__xludf.DUMMYFUNCTION("""COMPUTED_VALUE"""),46303.48503347222)</f>
        <v>46303.48503</v>
      </c>
      <c r="B198" s="2" t="str">
        <f>IFERROR(__xludf.DUMMYFUNCTION("""COMPUTED_VALUE"""),"Good")</f>
        <v>Good</v>
      </c>
      <c r="C198" s="2" t="str">
        <f>IFERROR(__xludf.DUMMYFUNCTION("""COMPUTED_VALUE"""),"None")</f>
        <v>None</v>
      </c>
    </row>
    <row r="199">
      <c r="A199" s="3">
        <f>IFERROR(__xludf.DUMMYFUNCTION("""COMPUTED_VALUE"""),46303.48515972222)</f>
        <v>46303.48516</v>
      </c>
      <c r="B199" s="2" t="str">
        <f>IFERROR(__xludf.DUMMYFUNCTION("""COMPUTED_VALUE"""),"The services provided by the office were efficient, organized, and client-friendly.")</f>
        <v>The services provided by the office were efficient, organized, and client-friendly.</v>
      </c>
      <c r="C199" s="2" t="str">
        <f>IFERROR(__xludf.DUMMYFUNCTION("""COMPUTED_VALUE"""),"I suggest to maintain good communication by providing clear instructions,and courteous assistance Adding a help desk and improving online response would make the service more efficient and client-friendly")</f>
        <v>I suggest to maintain good communication by providing clear instructions,and courteous assistance Adding a help desk and improving online response would make the service more efficient and client-friendly</v>
      </c>
    </row>
    <row r="200">
      <c r="A200" s="3">
        <f>IFERROR(__xludf.DUMMYFUNCTION("""COMPUTED_VALUE"""),46303.48539804398)</f>
        <v>46303.4854</v>
      </c>
      <c r="B200" s="2" t="str">
        <f>IFERROR(__xludf.DUMMYFUNCTION("""COMPUTED_VALUE"""),"Good")</f>
        <v>Good</v>
      </c>
      <c r="C200" s="2" t="str">
        <f>IFERROR(__xludf.DUMMYFUNCTION("""COMPUTED_VALUE"""),"keep treating students with fair and honest ")</f>
        <v>keep treating students with fair and honest </v>
      </c>
    </row>
    <row r="201">
      <c r="A201" s="3">
        <f>IFERROR(__xludf.DUMMYFUNCTION("""COMPUTED_VALUE"""),46303.48699253472)</f>
        <v>46303.48699</v>
      </c>
      <c r="B201" s="2" t="str">
        <f>IFERROR(__xludf.DUMMYFUNCTION("""COMPUTED_VALUE"""),"Good")</f>
        <v>Good</v>
      </c>
      <c r="C201" s="2" t="str">
        <f>IFERROR(__xludf.DUMMYFUNCTION("""COMPUTED_VALUE"""),"none
")</f>
        <v>none
</v>
      </c>
    </row>
    <row r="202">
      <c r="A202" s="3">
        <f>IFERROR(__xludf.DUMMYFUNCTION("""COMPUTED_VALUE"""),46303.48710381944)</f>
        <v>46303.4871</v>
      </c>
      <c r="B202" s="2" t="str">
        <f>IFERROR(__xludf.DUMMYFUNCTION("""COMPUTED_VALUE"""),"I dont have any answers for this question ")</f>
        <v>I dont have any answers for this question </v>
      </c>
      <c r="C202" s="2" t="str">
        <f>IFERROR(__xludf.DUMMYFUNCTION("""COMPUTED_VALUE"""),"Probably make good communication and  focus on reducing customer effort, speeding up response times, and personalizing interactions across every touchpoint")</f>
        <v>Probably make good communication and  focus on reducing customer effort, speeding up response times, and personalizing interactions across every touchpoint</v>
      </c>
    </row>
    <row r="203">
      <c r="A203" s="3">
        <f>IFERROR(__xludf.DUMMYFUNCTION("""COMPUTED_VALUE"""),46303.48807076389)</f>
        <v>46303.48807</v>
      </c>
      <c r="B203" s="2" t="str">
        <f>IFERROR(__xludf.DUMMYFUNCTION("""COMPUTED_VALUE"""),"excellent")</f>
        <v>excellent</v>
      </c>
      <c r="C203" s="2" t="str">
        <f>IFERROR(__xludf.DUMMYFUNCTION("""COMPUTED_VALUE"""),"make a easy to understand instructions")</f>
        <v>make a easy to understand instructions</v>
      </c>
    </row>
    <row r="204">
      <c r="A204" s="3">
        <f>IFERROR(__xludf.DUMMYFUNCTION("""COMPUTED_VALUE"""),46303.48818436342)</f>
        <v>46303.48818</v>
      </c>
      <c r="B204" s="2" t="str">
        <f>IFERROR(__xludf.DUMMYFUNCTION("""COMPUTED_VALUE"""),"Very Good")</f>
        <v>Very Good</v>
      </c>
      <c r="C204" s="2" t="str">
        <f>IFERROR(__xludf.DUMMYFUNCTION("""COMPUTED_VALUE"""),"Ask politely and communicate clearly")</f>
        <v>Ask politely and communicate clearly</v>
      </c>
    </row>
    <row r="205">
      <c r="A205" s="3">
        <f>IFERROR(__xludf.DUMMYFUNCTION("""COMPUTED_VALUE"""),46303.48927738426)</f>
        <v>46303.48928</v>
      </c>
      <c r="B205" s="2" t="str">
        <f>IFERROR(__xludf.DUMMYFUNCTION("""COMPUTED_VALUE"""),"Good")</f>
        <v>Good</v>
      </c>
      <c r="C205" s="2"/>
    </row>
    <row r="206">
      <c r="A206" s="3">
        <f>IFERROR(__xludf.DUMMYFUNCTION("""COMPUTED_VALUE"""),46303.49003526621)</f>
        <v>46303.49004</v>
      </c>
      <c r="B206" s="2" t="str">
        <f>IFERROR(__xludf.DUMMYFUNCTION("""COMPUTED_VALUE"""),"Good")</f>
        <v>Good</v>
      </c>
      <c r="C206" s="2" t="str">
        <f>IFERROR(__xludf.DUMMYFUNCTION("""COMPUTED_VALUE"""),"Make good communication")</f>
        <v>Make good communication</v>
      </c>
    </row>
    <row r="207">
      <c r="A207" s="3">
        <f>IFERROR(__xludf.DUMMYFUNCTION("""COMPUTED_VALUE"""),46303.491716006945)</f>
        <v>46303.49172</v>
      </c>
      <c r="B207" s="2" t="str">
        <f>IFERROR(__xludf.DUMMYFUNCTION("""COMPUTED_VALUE"""),"none")</f>
        <v>none</v>
      </c>
      <c r="C207" s="2" t="str">
        <f>IFERROR(__xludf.DUMMYFUNCTION("""COMPUTED_VALUE"""),"yes make good communication ")</f>
        <v>yes make good communication </v>
      </c>
    </row>
    <row r="208">
      <c r="A208" s="3">
        <f>IFERROR(__xludf.DUMMYFUNCTION("""COMPUTED_VALUE"""),46303.491952384255)</f>
        <v>46303.49195</v>
      </c>
      <c r="B208" s="2" t="str">
        <f>IFERROR(__xludf.DUMMYFUNCTION("""COMPUTED_VALUE"""),"none")</f>
        <v>none</v>
      </c>
      <c r="C208" s="2" t="str">
        <f>IFERROR(__xludf.DUMMYFUNCTION("""COMPUTED_VALUE"""),"none, the service is good")</f>
        <v>none, the service is good</v>
      </c>
    </row>
    <row r="209">
      <c r="A209" s="3">
        <f>IFERROR(__xludf.DUMMYFUNCTION("""COMPUTED_VALUE"""),46303.49197162037)</f>
        <v>46303.49197</v>
      </c>
      <c r="B209" s="2" t="str">
        <f>IFERROR(__xludf.DUMMYFUNCTION("""COMPUTED_VALUE"""),"N/A")</f>
        <v>N/A</v>
      </c>
      <c r="C209" s="2" t="str">
        <f>IFERROR(__xludf.DUMMYFUNCTION("""COMPUTED_VALUE"""),"N/A")</f>
        <v>N/A</v>
      </c>
    </row>
    <row r="210">
      <c r="A210" s="3">
        <f>IFERROR(__xludf.DUMMYFUNCTION("""COMPUTED_VALUE"""),46303.49275372685)</f>
        <v>46303.49275</v>
      </c>
      <c r="B210" s="2" t="str">
        <f>IFERROR(__xludf.DUMMYFUNCTION("""COMPUTED_VALUE"""),"N/A")</f>
        <v>N/A</v>
      </c>
      <c r="C210" s="2" t="str">
        <f>IFERROR(__xludf.DUMMYFUNCTION("""COMPUTED_VALUE"""),"N/A")</f>
        <v>N/A</v>
      </c>
    </row>
    <row r="211">
      <c r="A211" s="3">
        <f>IFERROR(__xludf.DUMMYFUNCTION("""COMPUTED_VALUE"""),46303.49284385417)</f>
        <v>46303.49284</v>
      </c>
      <c r="B211" s="2" t="str">
        <f>IFERROR(__xludf.DUMMYFUNCTION("""COMPUTED_VALUE"""),"Good as much")</f>
        <v>Good as much</v>
      </c>
      <c r="C211" s="2"/>
    </row>
    <row r="212">
      <c r="A212" s="3">
        <f>IFERROR(__xludf.DUMMYFUNCTION("""COMPUTED_VALUE"""),46303.49307710648)</f>
        <v>46303.49308</v>
      </c>
      <c r="B212" s="2" t="str">
        <f>IFERROR(__xludf.DUMMYFUNCTION("""COMPUTED_VALUE"""),"The office provides efficient and helpful services, with friendly and accommodating staff")</f>
        <v>The office provides efficient and helpful services, with friendly and accommodating staff</v>
      </c>
      <c r="C212" s="2" t="str">
        <f>IFERROR(__xludf.DUMMYFUNCTION("""COMPUTED_VALUE"""),"Improve service efficiency by reducing waiting time and providing clear information to customers")</f>
        <v>Improve service efficiency by reducing waiting time and providing clear information to customers</v>
      </c>
    </row>
    <row r="213">
      <c r="A213" s="3">
        <f>IFERROR(__xludf.DUMMYFUNCTION("""COMPUTED_VALUE"""),46303.493630324076)</f>
        <v>46303.49363</v>
      </c>
      <c r="B213" s="2" t="str">
        <f>IFERROR(__xludf.DUMMYFUNCTION("""COMPUTED_VALUE"""),"Good")</f>
        <v>Good</v>
      </c>
      <c r="C213" s="2" t="str">
        <f>IFERROR(__xludf.DUMMYFUNCTION("""COMPUTED_VALUE"""),"be approachable ")</f>
        <v>be approachable </v>
      </c>
    </row>
    <row r="214">
      <c r="A214" s="3">
        <f>IFERROR(__xludf.DUMMYFUNCTION("""COMPUTED_VALUE"""),46303.494524988426)</f>
        <v>46303.49452</v>
      </c>
      <c r="B214" s="2" t="str">
        <f>IFERROR(__xludf.DUMMYFUNCTION("""COMPUTED_VALUE"""),"The office provides fast transactions ")</f>
        <v>The office provides fast transactions </v>
      </c>
      <c r="C214" s="2" t="str">
        <f>IFERROR(__xludf.DUMMYFUNCTION("""COMPUTED_VALUE"""),"should cater more online transactions ")</f>
        <v>should cater more online transactions </v>
      </c>
    </row>
    <row r="215">
      <c r="A215" s="3">
        <f>IFERROR(__xludf.DUMMYFUNCTION("""COMPUTED_VALUE"""),46303.504913125)</f>
        <v>46303.50491</v>
      </c>
      <c r="B215" s="2" t="str">
        <f>IFERROR(__xludf.DUMMYFUNCTION("""COMPUTED_VALUE"""),"none.")</f>
        <v>none.</v>
      </c>
      <c r="C215" s="2" t="str">
        <f>IFERROR(__xludf.DUMMYFUNCTION("""COMPUTED_VALUE"""),"none, the service is good")</f>
        <v>none, the service is good</v>
      </c>
    </row>
    <row r="216">
      <c r="A216" s="3">
        <f>IFERROR(__xludf.DUMMYFUNCTION("""COMPUTED_VALUE"""),46303.505591678244)</f>
        <v>46303.50559</v>
      </c>
      <c r="B216" s="2" t="str">
        <f>IFERROR(__xludf.DUMMYFUNCTION("""COMPUTED_VALUE"""),"Brilliant ")</f>
        <v>Brilliant </v>
      </c>
      <c r="C216" s="2" t="str">
        <f>IFERROR(__xludf.DUMMYFUNCTION("""COMPUTED_VALUE"""),"Nothing")</f>
        <v>Nothing</v>
      </c>
    </row>
    <row r="217">
      <c r="A217" s="3">
        <f>IFERROR(__xludf.DUMMYFUNCTION("""COMPUTED_VALUE"""),46303.505896828705)</f>
        <v>46303.5059</v>
      </c>
      <c r="B217" s="2" t="str">
        <f>IFERROR(__xludf.DUMMYFUNCTION("""COMPUTED_VALUE"""),"none")</f>
        <v>none</v>
      </c>
      <c r="C217" s="2" t="str">
        <f>IFERROR(__xludf.DUMMYFUNCTION("""COMPUTED_VALUE"""),"none")</f>
        <v>none</v>
      </c>
    </row>
    <row r="218">
      <c r="A218" s="3">
        <f>IFERROR(__xludf.DUMMYFUNCTION("""COMPUTED_VALUE"""),46303.50793381945)</f>
        <v>46303.50793</v>
      </c>
      <c r="B218" s="2" t="str">
        <f>IFERROR(__xludf.DUMMYFUNCTION("""COMPUTED_VALUE"""),"Good")</f>
        <v>Good</v>
      </c>
      <c r="C218" s="2" t="str">
        <f>IFERROR(__xludf.DUMMYFUNCTION("""COMPUTED_VALUE"""),"I don't have a suggestion because my experience is good ")</f>
        <v>I don't have a suggestion because my experience is good </v>
      </c>
    </row>
    <row r="219">
      <c r="A219" s="3">
        <f>IFERROR(__xludf.DUMMYFUNCTION("""COMPUTED_VALUE"""),46303.50873959491)</f>
        <v>46303.50874</v>
      </c>
      <c r="B219" s="2" t="str">
        <f>IFERROR(__xludf.DUMMYFUNCTION("""COMPUTED_VALUE"""),"Good ")</f>
        <v>Good </v>
      </c>
      <c r="C219" s="2" t="str">
        <f>IFERROR(__xludf.DUMMYFUNCTION("""COMPUTED_VALUE"""),"Make good communication ")</f>
        <v>Make good communication </v>
      </c>
    </row>
    <row r="220">
      <c r="A220" s="3">
        <f>IFERROR(__xludf.DUMMYFUNCTION("""COMPUTED_VALUE"""),46303.50876319445)</f>
        <v>46303.50876</v>
      </c>
      <c r="B220" s="2" t="str">
        <f>IFERROR(__xludf.DUMMYFUNCTION("""COMPUTED_VALUE"""),"Good")</f>
        <v>Good</v>
      </c>
      <c r="C220" s="2" t="str">
        <f>IFERROR(__xludf.DUMMYFUNCTION("""COMPUTED_VALUE"""),"Good communication ")</f>
        <v>Good communication </v>
      </c>
    </row>
    <row r="221">
      <c r="A221" s="3">
        <f>IFERROR(__xludf.DUMMYFUNCTION("""COMPUTED_VALUE"""),46303.50932780093)</f>
        <v>46303.50933</v>
      </c>
      <c r="B221" s="2" t="str">
        <f>IFERROR(__xludf.DUMMYFUNCTION("""COMPUTED_VALUE"""),"Good ")</f>
        <v>Good </v>
      </c>
      <c r="C221" s="2" t="str">
        <f>IFERROR(__xludf.DUMMYFUNCTION("""COMPUTED_VALUE"""),"Make good communication ")</f>
        <v>Make good communication </v>
      </c>
    </row>
    <row r="222">
      <c r="A222" s="3">
        <f>IFERROR(__xludf.DUMMYFUNCTION("""COMPUTED_VALUE"""),46303.510140810184)</f>
        <v>46303.51014</v>
      </c>
      <c r="B222" s="2" t="str">
        <f>IFERROR(__xludf.DUMMYFUNCTION("""COMPUTED_VALUE"""),"The services provided by the NSTP Office are excellent, efficient, and very accommodating. The staff are approachable, respectful, and handle student concerns professionally. Overall, I am very satisfied.")</f>
        <v>The services provided by the NSTP Office are excellent, efficient, and very accommodating. The staff are approachable, respectful, and handle student concerns professionally. Overall, I am very satisfied.</v>
      </c>
      <c r="C222" s="2" t="str">
        <f>IFERROR(__xludf.DUMMYFUNCTION("""COMPUTED_VALUE"""),"I suggest maintaining good communication and providing timely updates through online platforms like GC or Facebook for announcements. Continue the accommodating service.")</f>
        <v>I suggest maintaining good communication and providing timely updates through online platforms like GC or Facebook for announcements. Continue the accommodating service.</v>
      </c>
    </row>
    <row r="223">
      <c r="A223" s="3">
        <f>IFERROR(__xludf.DUMMYFUNCTION("""COMPUTED_VALUE"""),46303.51032108796)</f>
        <v>46303.51032</v>
      </c>
      <c r="B223" s="2" t="str">
        <f>IFERROR(__xludf.DUMMYFUNCTION("""COMPUTED_VALUE"""),"N/A")</f>
        <v>N/A</v>
      </c>
      <c r="C223" s="2" t="str">
        <f>IFERROR(__xludf.DUMMYFUNCTION("""COMPUTED_VALUE"""),"N/A")</f>
        <v>N/A</v>
      </c>
    </row>
    <row r="224">
      <c r="A224" s="3">
        <f>IFERROR(__xludf.DUMMYFUNCTION("""COMPUTED_VALUE"""),46303.513772569444)</f>
        <v>46303.51377</v>
      </c>
      <c r="B224" s="2" t="str">
        <f>IFERROR(__xludf.DUMMYFUNCTION("""COMPUTED_VALUE"""),"good")</f>
        <v>good</v>
      </c>
      <c r="C224" s="2" t="str">
        <f>IFERROR(__xludf.DUMMYFUNCTION("""COMPUTED_VALUE"""),"good")</f>
        <v>good</v>
      </c>
    </row>
    <row r="225">
      <c r="A225" s="3">
        <f>IFERROR(__xludf.DUMMYFUNCTION("""COMPUTED_VALUE"""),46303.515046747685)</f>
        <v>46303.51505</v>
      </c>
      <c r="B225" s="2" t="str">
        <f>IFERROR(__xludf.DUMMYFUNCTION("""COMPUTED_VALUE"""),"What can you comment about the the services provided by the office? 
Good
")</f>
        <v>What can you comment about the the services provided by the office? 
Good
</v>
      </c>
      <c r="C225" s="2" t="str">
        <f>IFERROR(__xludf.DUMMYFUNCTION("""COMPUTED_VALUE"""),"To improve customer experience, the office could provide faster service, clearer communication, and more organized procedures. Staff should remain friendly, approachable, and responsive to customers’ concerns. Providing clear information about requirement"&amp;"s, processing times, and procedures would also make the experience more convenient and satisfying.")</f>
        <v>To improve customer experience, the office could provide faster service, clearer communication, and more organized procedures. Staff should remain friendly, approachable, and responsive to customers’ concerns. Providing clear information about requirements, processing times, and procedures would also make the experience more convenient and satisfying.</v>
      </c>
    </row>
    <row r="226">
      <c r="A226" s="3">
        <f>IFERROR(__xludf.DUMMYFUNCTION("""COMPUTED_VALUE"""),46303.51539677083)</f>
        <v>46303.5154</v>
      </c>
      <c r="B226" s="2" t="str">
        <f>IFERROR(__xludf.DUMMYFUNCTION("""COMPUTED_VALUE"""),"
The services are good and helpful")</f>
        <v>
The services are good and helpful</v>
      </c>
      <c r="C226" s="2" t="str">
        <f>IFERROR(__xludf.DUMMYFUNCTION("""COMPUTED_VALUE"""),"Make good communication and provide clear information to customers")</f>
        <v>Make good communication and provide clear information to customers</v>
      </c>
    </row>
    <row r="227">
      <c r="A227" s="3">
        <f>IFERROR(__xludf.DUMMYFUNCTION("""COMPUTED_VALUE"""),46303.5164884375)</f>
        <v>46303.51649</v>
      </c>
      <c r="B227" s="2" t="str">
        <f>IFERROR(__xludf.DUMMYFUNCTION("""COMPUTED_VALUE"""),"The services provided by the office are good. The staff are helpful, accommodating, and provide services efficiently.")</f>
        <v>The services provided by the office are good. The staff are helpful, accommodating, and provide services efficiently.</v>
      </c>
      <c r="C227" s="2" t="str">
        <f>IFERROR(__xludf.DUMMYFUNCTION("""COMPUTED_VALUE"""),"To improve customer experience, the office could provide faster service, clearer communication, and more organized procedures. Staff should remain friendly, approachable, and responsive to customers’ concerns. Providing clear information about requirement"&amp;"s, processing times, and procedures would also make the experience more convenient and satisfying.")</f>
        <v>To improve customer experience, the office could provide faster service, clearer communication, and more organized procedures. Staff should remain friendly, approachable, and responsive to customers’ concerns. Providing clear information about requirements, processing times, and procedures would also make the experience more convenient and satisfying.</v>
      </c>
    </row>
    <row r="228">
      <c r="A228" s="3">
        <f>IFERROR(__xludf.DUMMYFUNCTION("""COMPUTED_VALUE"""),46303.51735592593)</f>
        <v>46303.51736</v>
      </c>
      <c r="B228" s="2" t="str">
        <f>IFERROR(__xludf.DUMMYFUNCTION("""COMPUTED_VALUE"""),"The services provided by the office are good. The staff are helpful and accommodating, and they assist customers with their concerns properly.")</f>
        <v>The services provided by the office are good. The staff are helpful and accommodating, and they assist customers with their concerns properly.</v>
      </c>
      <c r="C228" s="2" t="str">
        <f>IFERROR(__xludf.DUMMYFUNCTION("""COMPUTED_VALUE"""),"Improve communication with customers by being clear, friendly, and responsive. Make sure their concerns are listened to and addressed properly and promptly")</f>
        <v>Improve communication with customers by being clear, friendly, and responsive. Make sure their concerns are listened to and addressed properly and promptly</v>
      </c>
    </row>
    <row r="229">
      <c r="A229" s="3">
        <f>IFERROR(__xludf.DUMMYFUNCTION("""COMPUTED_VALUE"""),46303.51821392361)</f>
        <v>46303.51821</v>
      </c>
      <c r="B229" s="2" t="str">
        <f>IFERROR(__xludf.DUMMYFUNCTION("""COMPUTED_VALUE"""),"The services provided by the office are good. The staff are helpful, accommodating, and provide services efficiently.")</f>
        <v>The services provided by the office are good. The staff are helpful, accommodating, and provide services efficiently.</v>
      </c>
      <c r="C229" s="2" t="str">
        <f>IFERROR(__xludf.DUMMYFUNCTION("""COMPUTED_VALUE"""),"
To improve customer experience, the office could provide faster service, clearer communication, and more organized procedures. Staff should remain friendly, approachable, and responsive to customers’ concerns. Providing clear information about requireme"&amp;"nts, processing times, and procedures would also make the experience more convenient and satisfying.")</f>
        <v>
To improve customer experience, the office could provide faster service, clearer communication, and more organized procedures. Staff should remain friendly, approachable, and responsive to customers’ concerns. Providing clear information about requirements, processing times, and procedures would also make the experience more convenient and satisfying.</v>
      </c>
    </row>
    <row r="230">
      <c r="A230" s="3">
        <f>IFERROR(__xludf.DUMMYFUNCTION("""COMPUTED_VALUE"""),46303.51855445602)</f>
        <v>46303.51855</v>
      </c>
      <c r="B230" s="2" t="str">
        <f>IFERROR(__xludf.DUMMYFUNCTION("""COMPUTED_VALUE"""),"good")</f>
        <v>good</v>
      </c>
      <c r="C230" s="2" t="str">
        <f>IFERROR(__xludf.DUMMYFUNCTION("""COMPUTED_VALUE"""),"make a good communication and good manners")</f>
        <v>make a good communication and good manners</v>
      </c>
    </row>
    <row r="231">
      <c r="A231" s="3">
        <f>IFERROR(__xludf.DUMMYFUNCTION("""COMPUTED_VALUE"""),46303.52022707176)</f>
        <v>46303.52023</v>
      </c>
      <c r="B231" s="2"/>
      <c r="C231" s="2" t="str">
        <f>IFERROR(__xludf.DUMMYFUNCTION("""COMPUTED_VALUE"""),"Just always be kind. 😊 ")</f>
        <v>Just always be kind. 😊 </v>
      </c>
    </row>
    <row r="232">
      <c r="A232" s="3">
        <f>IFERROR(__xludf.DUMMYFUNCTION("""COMPUTED_VALUE"""),46303.520696631946)</f>
        <v>46303.5207</v>
      </c>
      <c r="B232" s="2" t="str">
        <f>IFERROR(__xludf.DUMMYFUNCTION("""COMPUTED_VALUE"""),"The services provided by the office are good and helpful. The staff are accommodating and assist customers with their concerns. However, the service could be improved by making the process faster and providing clearer information to customers.")</f>
        <v>The services provided by the office are good and helpful. The staff are accommodating and assist customers with their concerns. However, the service could be improved by making the process faster and providing clearer information to customers.</v>
      </c>
      <c r="C232" s="2" t="str">
        <f>IFERROR(__xludf.DUMMYFUNCTION("""COMPUTED_VALUE"""),"I suggest improving the customer experience by providing faster service, clear information, and friendly assistance. The staff should be approachable, patient, and willing to help customers with their concerns. It would also be helpful to keep the office "&amp;"clean and organized and reduce waiting time.")</f>
        <v>I suggest improving the customer experience by providing faster service, clear information, and friendly assistance. The staff should be approachable, patient, and willing to help customers with their concerns. It would also be helpful to keep the office clean and organized and reduce waiting time.</v>
      </c>
    </row>
    <row r="233">
      <c r="A233" s="3">
        <f>IFERROR(__xludf.DUMMYFUNCTION("""COMPUTED_VALUE"""),46303.529667442126)</f>
        <v>46303.52967</v>
      </c>
      <c r="B233" s="2"/>
      <c r="C233" s="2" t="str">
        <f>IFERROR(__xludf.DUMMYFUNCTION("""COMPUTED_VALUE"""),"n/a")</f>
        <v>n/a</v>
      </c>
    </row>
    <row r="234">
      <c r="A234" s="3">
        <f>IFERROR(__xludf.DUMMYFUNCTION("""COMPUTED_VALUE"""),46303.53323748843)</f>
        <v>46303.53324</v>
      </c>
      <c r="B234" s="2" t="str">
        <f>IFERROR(__xludf.DUMMYFUNCTION("""COMPUTED_VALUE"""),"Good")</f>
        <v>Good</v>
      </c>
      <c r="C234" s="2" t="str">
        <f>IFERROR(__xludf.DUMMYFUNCTION("""COMPUTED_VALUE"""),"N/A")</f>
        <v>N/A</v>
      </c>
    </row>
    <row r="235">
      <c r="A235" s="3">
        <f>IFERROR(__xludf.DUMMYFUNCTION("""COMPUTED_VALUE"""),46303.55321902777)</f>
        <v>46303.55322</v>
      </c>
      <c r="B235" s="2" t="str">
        <f>IFERROR(__xludf.DUMMYFUNCTION("""COMPUTED_VALUE"""),"good")</f>
        <v>good</v>
      </c>
      <c r="C235" s="2" t="str">
        <f>IFERROR(__xludf.DUMMYFUNCTION("""COMPUTED_VALUE"""),"good communication ")</f>
        <v>good communication </v>
      </c>
    </row>
    <row r="236">
      <c r="A236" s="3">
        <f>IFERROR(__xludf.DUMMYFUNCTION("""COMPUTED_VALUE"""),46303.55491975695)</f>
        <v>46303.55492</v>
      </c>
      <c r="B236" s="2" t="str">
        <f>IFERROR(__xludf.DUMMYFUNCTION("""COMPUTED_VALUE"""),"good")</f>
        <v>good</v>
      </c>
      <c r="C236" s="2" t="str">
        <f>IFERROR(__xludf.DUMMYFUNCTION("""COMPUTED_VALUE"""),"yes")</f>
        <v>yes</v>
      </c>
    </row>
    <row r="237">
      <c r="A237" s="3">
        <f>IFERROR(__xludf.DUMMYFUNCTION("""COMPUTED_VALUE"""),46303.5551580787)</f>
        <v>46303.55516</v>
      </c>
      <c r="B237" s="2" t="str">
        <f>IFERROR(__xludf.DUMMYFUNCTION("""COMPUTED_VALUE"""),"Good ")</f>
        <v>Good </v>
      </c>
      <c r="C237" s="2" t="str">
        <f>IFERROR(__xludf.DUMMYFUNCTION("""COMPUTED_VALUE"""),"Yes ")</f>
        <v>Yes </v>
      </c>
    </row>
    <row r="238">
      <c r="A238" s="3">
        <f>IFERROR(__xludf.DUMMYFUNCTION("""COMPUTED_VALUE"""),46303.55659688657)</f>
        <v>46303.5566</v>
      </c>
      <c r="B238" s="2" t="str">
        <f>IFERROR(__xludf.DUMMYFUNCTION("""COMPUTED_VALUE"""),"9/10")</f>
        <v>9/10</v>
      </c>
      <c r="C238" s="2" t="str">
        <f>IFERROR(__xludf.DUMMYFUNCTION("""COMPUTED_VALUE"""),"Good approaching ")</f>
        <v>Good approaching </v>
      </c>
    </row>
    <row r="239">
      <c r="A239" s="3">
        <f>IFERROR(__xludf.DUMMYFUNCTION("""COMPUTED_VALUE"""),46303.564309837966)</f>
        <v>46303.56431</v>
      </c>
      <c r="B239" s="2" t="str">
        <f>IFERROR(__xludf.DUMMYFUNCTION("""COMPUTED_VALUE"""),"Good")</f>
        <v>Good</v>
      </c>
      <c r="C239" s="2" t="str">
        <f>IFERROR(__xludf.DUMMYFUNCTION("""COMPUTED_VALUE"""),"Good communication ")</f>
        <v>Good communication </v>
      </c>
    </row>
    <row r="240">
      <c r="A240" s="3">
        <f>IFERROR(__xludf.DUMMYFUNCTION("""COMPUTED_VALUE"""),46303.58855186343)</f>
        <v>46303.58855</v>
      </c>
      <c r="B240" s="2" t="str">
        <f>IFERROR(__xludf.DUMMYFUNCTION("""COMPUTED_VALUE"""),"Good")</f>
        <v>Good</v>
      </c>
      <c r="C240" s="2" t="str">
        <f>IFERROR(__xludf.DUMMYFUNCTION("""COMPUTED_VALUE"""),"Make good communication")</f>
        <v>Make good communication</v>
      </c>
    </row>
    <row r="241">
      <c r="A241" s="3">
        <f>IFERROR(__xludf.DUMMYFUNCTION("""COMPUTED_VALUE"""),46303.59134799769)</f>
        <v>46303.59135</v>
      </c>
      <c r="B241" s="2" t="str">
        <f>IFERROR(__xludf.DUMMYFUNCTION("""COMPUTED_VALUE"""),"Good")</f>
        <v>Good</v>
      </c>
      <c r="C241" s="2" t="str">
        <f>IFERROR(__xludf.DUMMYFUNCTION("""COMPUTED_VALUE"""),"Good communication ")</f>
        <v>Good communication </v>
      </c>
    </row>
    <row r="242">
      <c r="A242" s="3">
        <f>IFERROR(__xludf.DUMMYFUNCTION("""COMPUTED_VALUE"""),46303.59190206019)</f>
        <v>46303.5919</v>
      </c>
      <c r="B242" s="2" t="str">
        <f>IFERROR(__xludf.DUMMYFUNCTION("""COMPUTED_VALUE"""),"Good")</f>
        <v>Good</v>
      </c>
      <c r="C242" s="2" t="str">
        <f>IFERROR(__xludf.DUMMYFUNCTION("""COMPUTED_VALUE"""),"Good communication ")</f>
        <v>Good communication </v>
      </c>
    </row>
    <row r="243">
      <c r="A243" s="3">
        <f>IFERROR(__xludf.DUMMYFUNCTION("""COMPUTED_VALUE"""),46303.59590827546)</f>
        <v>46303.59591</v>
      </c>
      <c r="B243" s="2" t="str">
        <f>IFERROR(__xludf.DUMMYFUNCTION("""COMPUTED_VALUE"""),"Good!")</f>
        <v>Good!</v>
      </c>
      <c r="C243" s="2" t="str">
        <f>IFERROR(__xludf.DUMMYFUNCTION("""COMPUTED_VALUE"""),"none")</f>
        <v>none</v>
      </c>
    </row>
    <row r="244">
      <c r="A244" s="3">
        <f>IFERROR(__xludf.DUMMYFUNCTION("""COMPUTED_VALUE"""),46303.59591364583)</f>
        <v>46303.59591</v>
      </c>
      <c r="B244" s="2" t="str">
        <f>IFERROR(__xludf.DUMMYFUNCTION("""COMPUTED_VALUE"""),"Good")</f>
        <v>Good</v>
      </c>
      <c r="C244" s="2" t="str">
        <f>IFERROR(__xludf.DUMMYFUNCTION("""COMPUTED_VALUE"""),"none")</f>
        <v>none</v>
      </c>
    </row>
    <row r="245">
      <c r="A245" s="3">
        <f>IFERROR(__xludf.DUMMYFUNCTION("""COMPUTED_VALUE"""),46303.602416504626)</f>
        <v>46303.60242</v>
      </c>
      <c r="B245" s="2" t="str">
        <f>IFERROR(__xludf.DUMMYFUNCTION("""COMPUTED_VALUE"""),"Worth your time")</f>
        <v>Worth your time</v>
      </c>
      <c r="C245" s="2" t="str">
        <f>IFERROR(__xludf.DUMMYFUNCTION("""COMPUTED_VALUE"""),"None")</f>
        <v>None</v>
      </c>
    </row>
    <row r="246">
      <c r="A246" s="3">
        <f>IFERROR(__xludf.DUMMYFUNCTION("""COMPUTED_VALUE"""),46303.61075238426)</f>
        <v>46303.61075</v>
      </c>
      <c r="B246" s="2" t="str">
        <f>IFERROR(__xludf.DUMMYFUNCTION("""COMPUTED_VALUE"""),"great")</f>
        <v>great</v>
      </c>
      <c r="C246" s="2" t="str">
        <f>IFERROR(__xludf.DUMMYFUNCTION("""COMPUTED_VALUE"""),"good communication ")</f>
        <v>good communication </v>
      </c>
    </row>
    <row r="247">
      <c r="A247" s="3">
        <f>IFERROR(__xludf.DUMMYFUNCTION("""COMPUTED_VALUE"""),46303.612485949074)</f>
        <v>46303.61249</v>
      </c>
      <c r="B247" s="2" t="str">
        <f>IFERROR(__xludf.DUMMYFUNCTION("""COMPUTED_VALUE"""),"very nice")</f>
        <v>very nice</v>
      </c>
      <c r="C247" s="2" t="str">
        <f>IFERROR(__xludf.DUMMYFUNCTION("""COMPUTED_VALUE"""),"good communication ")</f>
        <v>good communication </v>
      </c>
    </row>
    <row r="248">
      <c r="A248" s="3">
        <f>IFERROR(__xludf.DUMMYFUNCTION("""COMPUTED_VALUE"""),46303.62195259259)</f>
        <v>46303.62195</v>
      </c>
      <c r="B248" s="2" t="str">
        <f>IFERROR(__xludf.DUMMYFUNCTION("""COMPUTED_VALUE"""),"Good")</f>
        <v>Good</v>
      </c>
      <c r="C248" s="2" t="str">
        <f>IFERROR(__xludf.DUMMYFUNCTION("""COMPUTED_VALUE"""),"Good")</f>
        <v>Good</v>
      </c>
    </row>
    <row r="249">
      <c r="A249" s="3">
        <f>IFERROR(__xludf.DUMMYFUNCTION("""COMPUTED_VALUE"""),46303.631352337965)</f>
        <v>46303.63135</v>
      </c>
      <c r="B249" s="2" t="str">
        <f>IFERROR(__xludf.DUMMYFUNCTION("""COMPUTED_VALUE"""),"It was great")</f>
        <v>It was great</v>
      </c>
      <c r="C249" s="2"/>
    </row>
    <row r="250">
      <c r="A250" s="3">
        <f>IFERROR(__xludf.DUMMYFUNCTION("""COMPUTED_VALUE"""),46303.63261042824)</f>
        <v>46303.63261</v>
      </c>
      <c r="B250" s="2" t="str">
        <f>IFERROR(__xludf.DUMMYFUNCTION("""COMPUTED_VALUE"""),"Good")</f>
        <v>Good</v>
      </c>
      <c r="C250" s="2" t="str">
        <f>IFERROR(__xludf.DUMMYFUNCTION("""COMPUTED_VALUE"""),"None")</f>
        <v>None</v>
      </c>
    </row>
    <row r="251">
      <c r="A251" s="3">
        <f>IFERROR(__xludf.DUMMYFUNCTION("""COMPUTED_VALUE"""),46303.636964351856)</f>
        <v>46303.63696</v>
      </c>
      <c r="B251" s="2" t="str">
        <f>IFERROR(__xludf.DUMMYFUNCTION("""COMPUTED_VALUE"""),"Good ")</f>
        <v>Good </v>
      </c>
      <c r="C251" s="2" t="str">
        <f>IFERROR(__xludf.DUMMYFUNCTION("""COMPUTED_VALUE"""),"It's okay already ")</f>
        <v>It's okay already </v>
      </c>
    </row>
    <row r="252">
      <c r="A252" s="3">
        <f>IFERROR(__xludf.DUMMYFUNCTION("""COMPUTED_VALUE"""),46303.6382237037)</f>
        <v>46303.63822</v>
      </c>
      <c r="B252" s="2" t="str">
        <f>IFERROR(__xludf.DUMMYFUNCTION("""COMPUTED_VALUE"""),"excellent ")</f>
        <v>excellent </v>
      </c>
      <c r="C252" s="2" t="str">
        <f>IFERROR(__xludf.DUMMYFUNCTION("""COMPUTED_VALUE"""),"responsible ")</f>
        <v>responsible </v>
      </c>
    </row>
    <row r="253">
      <c r="A253" s="3">
        <f>IFERROR(__xludf.DUMMYFUNCTION("""COMPUTED_VALUE"""),46303.640076724536)</f>
        <v>46303.64008</v>
      </c>
      <c r="B253" s="2" t="str">
        <f>IFERROR(__xludf.DUMMYFUNCTION("""COMPUTED_VALUE"""),"excellent ")</f>
        <v>excellent </v>
      </c>
      <c r="C253" s="2" t="str">
        <f>IFERROR(__xludf.DUMMYFUNCTION("""COMPUTED_VALUE"""),"make responsible ")</f>
        <v>make responsible </v>
      </c>
    </row>
    <row r="254">
      <c r="A254" s="3">
        <f>IFERROR(__xludf.DUMMYFUNCTION("""COMPUTED_VALUE"""),46303.64149835648)</f>
        <v>46303.6415</v>
      </c>
      <c r="B254" s="2" t="str">
        <f>IFERROR(__xludf.DUMMYFUNCTION("""COMPUTED_VALUE"""),"n/a")</f>
        <v>n/a</v>
      </c>
      <c r="C254" s="2" t="str">
        <f>IFERROR(__xludf.DUMMYFUNCTION("""COMPUTED_VALUE"""),"n/a")</f>
        <v>n/a</v>
      </c>
    </row>
    <row r="255">
      <c r="A255" s="3">
        <f>IFERROR(__xludf.DUMMYFUNCTION("""COMPUTED_VALUE"""),46303.642241388894)</f>
        <v>46303.64224</v>
      </c>
      <c r="B255" s="2" t="str">
        <f>IFERROR(__xludf.DUMMYFUNCTION("""COMPUTED_VALUE"""),"Good")</f>
        <v>Good</v>
      </c>
      <c r="C255" s="2"/>
    </row>
    <row r="256">
      <c r="A256" s="3">
        <f>IFERROR(__xludf.DUMMYFUNCTION("""COMPUTED_VALUE"""),46303.64334357639)</f>
        <v>46303.64334</v>
      </c>
      <c r="B256" s="2" t="str">
        <f>IFERROR(__xludf.DUMMYFUNCTION("""COMPUTED_VALUE"""),"Good ")</f>
        <v>Good </v>
      </c>
      <c r="C256" s="2" t="str">
        <f>IFERROR(__xludf.DUMMYFUNCTION("""COMPUTED_VALUE"""),"None")</f>
        <v>None</v>
      </c>
    </row>
    <row r="257">
      <c r="A257" s="3">
        <f>IFERROR(__xludf.DUMMYFUNCTION("""COMPUTED_VALUE"""),46303.64335613426)</f>
        <v>46303.64336</v>
      </c>
      <c r="B257" s="2" t="str">
        <f>IFERROR(__xludf.DUMMYFUNCTION("""COMPUTED_VALUE"""),"Good
")</f>
        <v>Good
</v>
      </c>
      <c r="C257" s="2" t="str">
        <f>IFERROR(__xludf.DUMMYFUNCTION("""COMPUTED_VALUE"""),"Nothing, because for me it is good, good staff and convenient")</f>
        <v>Nothing, because for me it is good, good staff and convenient</v>
      </c>
    </row>
    <row r="258">
      <c r="A258" s="3">
        <f>IFERROR(__xludf.DUMMYFUNCTION("""COMPUTED_VALUE"""),46303.65329826389)</f>
        <v>46303.6533</v>
      </c>
      <c r="B258" s="2" t="str">
        <f>IFERROR(__xludf.DUMMYFUNCTION("""COMPUTED_VALUE"""),"Good")</f>
        <v>Good</v>
      </c>
      <c r="C258" s="2" t="str">
        <f>IFERROR(__xludf.DUMMYFUNCTION("""COMPUTED_VALUE"""),"N/A")</f>
        <v>N/A</v>
      </c>
    </row>
    <row r="259">
      <c r="A259" s="3">
        <f>IFERROR(__xludf.DUMMYFUNCTION("""COMPUTED_VALUE"""),46303.65919553241)</f>
        <v>46303.6592</v>
      </c>
      <c r="B259" s="2" t="str">
        <f>IFERROR(__xludf.DUMMYFUNCTION("""COMPUTED_VALUE"""),"Best service")</f>
        <v>Best service</v>
      </c>
      <c r="C259" s="2" t="str">
        <f>IFERROR(__xludf.DUMMYFUNCTION("""COMPUTED_VALUE"""),"None")</f>
        <v>None</v>
      </c>
    </row>
    <row r="260">
      <c r="A260" s="3">
        <f>IFERROR(__xludf.DUMMYFUNCTION("""COMPUTED_VALUE"""),46303.66027918982)</f>
        <v>46303.66028</v>
      </c>
      <c r="B260" s="2" t="str">
        <f>IFERROR(__xludf.DUMMYFUNCTION("""COMPUTED_VALUE"""),"very good")</f>
        <v>very good</v>
      </c>
      <c r="C260" s="2" t="str">
        <f>IFERROR(__xludf.DUMMYFUNCTION("""COMPUTED_VALUE"""),"greet them nicely")</f>
        <v>greet them nicely</v>
      </c>
    </row>
    <row r="261">
      <c r="A261" s="3">
        <f>IFERROR(__xludf.DUMMYFUNCTION("""COMPUTED_VALUE"""),46303.660944641204)</f>
        <v>46303.66094</v>
      </c>
      <c r="B261" s="2" t="str">
        <f>IFERROR(__xludf.DUMMYFUNCTION("""COMPUTED_VALUE"""),"Awesome ")</f>
        <v>Awesome </v>
      </c>
      <c r="C261" s="2" t="str">
        <f>IFERROR(__xludf.DUMMYFUNCTION("""COMPUTED_VALUE"""),"Yes make good communication ")</f>
        <v>Yes make good communication </v>
      </c>
    </row>
    <row r="262">
      <c r="A262" s="3">
        <f>IFERROR(__xludf.DUMMYFUNCTION("""COMPUTED_VALUE"""),46303.663167025465)</f>
        <v>46303.66317</v>
      </c>
      <c r="B262" s="2" t="str">
        <f>IFERROR(__xludf.DUMMYFUNCTION("""COMPUTED_VALUE"""),"80/100")</f>
        <v>80/100</v>
      </c>
      <c r="C262" s="2" t="str">
        <f>IFERROR(__xludf.DUMMYFUNCTION("""COMPUTED_VALUE"""),"Yes")</f>
        <v>Yes</v>
      </c>
    </row>
    <row r="263">
      <c r="A263" s="3">
        <f>IFERROR(__xludf.DUMMYFUNCTION("""COMPUTED_VALUE"""),46303.664445856484)</f>
        <v>46303.66445</v>
      </c>
      <c r="B263" s="2" t="str">
        <f>IFERROR(__xludf.DUMMYFUNCTION("""COMPUTED_VALUE"""),"Okay lang")</f>
        <v>Okay lang</v>
      </c>
      <c r="C263" s="2" t="str">
        <f>IFERROR(__xludf.DUMMYFUNCTION("""COMPUTED_VALUE"""),"Yes")</f>
        <v>Yes</v>
      </c>
    </row>
    <row r="264">
      <c r="A264" s="3">
        <f>IFERROR(__xludf.DUMMYFUNCTION("""COMPUTED_VALUE"""),46303.67781034722)</f>
        <v>46303.67781</v>
      </c>
      <c r="B264" s="2" t="str">
        <f>IFERROR(__xludf.DUMMYFUNCTION("""COMPUTED_VALUE"""),"none")</f>
        <v>none</v>
      </c>
      <c r="C264" s="2" t="str">
        <f>IFERROR(__xludf.DUMMYFUNCTION("""COMPUTED_VALUE"""),"none")</f>
        <v>none</v>
      </c>
    </row>
    <row r="265">
      <c r="A265" s="3">
        <f>IFERROR(__xludf.DUMMYFUNCTION("""COMPUTED_VALUE"""),46303.67939398148)</f>
        <v>46303.67939</v>
      </c>
      <c r="B265" s="2" t="str">
        <f>IFERROR(__xludf.DUMMYFUNCTION("""COMPUTED_VALUE"""),"Goods na goods
")</f>
        <v>Goods na goods
</v>
      </c>
      <c r="C265" s="2" t="str">
        <f>IFERROR(__xludf.DUMMYFUNCTION("""COMPUTED_VALUE"""),"okey na okey naman na po")</f>
        <v>okey na okey naman na po</v>
      </c>
    </row>
    <row r="266">
      <c r="A266" s="3">
        <f>IFERROR(__xludf.DUMMYFUNCTION("""COMPUTED_VALUE"""),46303.68390079861)</f>
        <v>46303.6839</v>
      </c>
      <c r="B266" s="2"/>
      <c r="C266" s="2" t="str">
        <f>IFERROR(__xludf.DUMMYFUNCTION("""COMPUTED_VALUE"""),"the communication with office is actually good i dont know if there is thing to improve")</f>
        <v>the communication with office is actually good i dont know if there is thing to improve</v>
      </c>
    </row>
    <row r="267">
      <c r="A267" s="3">
        <f>IFERROR(__xludf.DUMMYFUNCTION("""COMPUTED_VALUE"""),46303.68904993056)</f>
        <v>46303.68905</v>
      </c>
      <c r="B267" s="2" t="str">
        <f>IFERROR(__xludf.DUMMYFUNCTION("""COMPUTED_VALUE"""),"GOOD")</f>
        <v>GOOD</v>
      </c>
      <c r="C267" s="2" t="str">
        <f>IFERROR(__xludf.DUMMYFUNCTION("""COMPUTED_VALUE"""),"i think there's nothing to improve, costumers service really satisfied as namn for sure")</f>
        <v>i think there's nothing to improve, costumers service really satisfied as namn for sure</v>
      </c>
    </row>
    <row r="268">
      <c r="A268" s="3">
        <f>IFERROR(__xludf.DUMMYFUNCTION("""COMPUTED_VALUE"""),46303.726963333334)</f>
        <v>46303.72696</v>
      </c>
      <c r="B268" s="2" t="str">
        <f>IFERROR(__xludf.DUMMYFUNCTION("""COMPUTED_VALUE"""),"It was good ")</f>
        <v>It was good </v>
      </c>
      <c r="C268" s="2"/>
    </row>
    <row r="269">
      <c r="A269" s="3">
        <f>IFERROR(__xludf.DUMMYFUNCTION("""COMPUTED_VALUE"""),46303.73306204861)</f>
        <v>46303.73306</v>
      </c>
      <c r="B269" s="2" t="str">
        <f>IFERROR(__xludf.DUMMYFUNCTION("""COMPUTED_VALUE"""),"Good")</f>
        <v>Good</v>
      </c>
      <c r="C269" s="2" t="str">
        <f>IFERROR(__xludf.DUMMYFUNCTION("""COMPUTED_VALUE"""),"Teach your worker proper manners when interacting with other students. You can be in a bad mood, but don’t take it out on students who just want to pass something to the office.")</f>
        <v>Teach your worker proper manners when interacting with other students. You can be in a bad mood, but don’t take it out on students who just want to pass something to the office.</v>
      </c>
    </row>
    <row r="270">
      <c r="A270" s="3">
        <f>IFERROR(__xludf.DUMMYFUNCTION("""COMPUTED_VALUE"""),46303.74106408565)</f>
        <v>46303.74106</v>
      </c>
      <c r="B270" s="2" t="str">
        <f>IFERROR(__xludf.DUMMYFUNCTION("""COMPUTED_VALUE"""),"Good")</f>
        <v>Good</v>
      </c>
      <c r="C270" s="2" t="str">
        <f>IFERROR(__xludf.DUMMYFUNCTION("""COMPUTED_VALUE"""),"My suggestion is to improve communication with customers. The staff should be friendly, approachable, and clear when giving information. They should also listen to customers’ concerns and respond politely and quickly. Good communication can make customers"&amp;" feel respected, comfortable, and satisfied with the service.")</f>
        <v>My suggestion is to improve communication with customers. The staff should be friendly, approachable, and clear when giving information. They should also listen to customers’ concerns and respond politely and quickly. Good communication can make customers feel respected, comfortable, and satisfied with the service.</v>
      </c>
    </row>
    <row r="271">
      <c r="A271" s="3">
        <f>IFERROR(__xludf.DUMMYFUNCTION("""COMPUTED_VALUE"""),46303.74333835648)</f>
        <v>46303.74334</v>
      </c>
      <c r="B271" s="2"/>
      <c r="C271" s="2" t="str">
        <f>IFERROR(__xludf.DUMMYFUNCTION("""COMPUTED_VALUE"""),"I suggest improving communication with clients by providing clear information, responding to questions politely, and assisting customers promptly. Friendly and approachable staff can make clients feel more comfortable and satisfied with the service.")</f>
        <v>I suggest improving communication with clients by providing clear information, responding to questions politely, and assisting customers promptly. Friendly and approachable staff can make clients feel more comfortable and satisfied with the service.</v>
      </c>
    </row>
    <row r="272">
      <c r="A272" s="3">
        <f>IFERROR(__xludf.DUMMYFUNCTION("""COMPUTED_VALUE"""),46303.74727357639)</f>
        <v>46303.74727</v>
      </c>
      <c r="B272" s="2" t="str">
        <f>IFERROR(__xludf.DUMMYFUNCTION("""COMPUTED_VALUE"""),"none")</f>
        <v>none</v>
      </c>
      <c r="C272" s="2" t="str">
        <f>IFERROR(__xludf.DUMMYFUNCTION("""COMPUTED_VALUE"""),"none")</f>
        <v>none</v>
      </c>
    </row>
    <row r="273">
      <c r="A273" s="3">
        <f>IFERROR(__xludf.DUMMYFUNCTION("""COMPUTED_VALUE"""),46303.75094105324)</f>
        <v>46303.75094</v>
      </c>
      <c r="B273" s="2" t="str">
        <f>IFERROR(__xludf.DUMMYFUNCTION("""COMPUTED_VALUE"""),"Good ")</f>
        <v>Good </v>
      </c>
      <c r="C273" s="2" t="str">
        <f>IFERROR(__xludf.DUMMYFUNCTION("""COMPUTED_VALUE"""),"None ")</f>
        <v>None </v>
      </c>
    </row>
    <row r="274">
      <c r="A274" s="3">
        <f>IFERROR(__xludf.DUMMYFUNCTION("""COMPUTED_VALUE"""),46303.75347856482)</f>
        <v>46303.75348</v>
      </c>
      <c r="B274" s="2" t="str">
        <f>IFERROR(__xludf.DUMMYFUNCTION("""COMPUTED_VALUE"""),"Very good")</f>
        <v>Very good</v>
      </c>
      <c r="C274" s="2" t="str">
        <f>IFERROR(__xludf.DUMMYFUNCTION("""COMPUTED_VALUE"""),"N/A")</f>
        <v>N/A</v>
      </c>
    </row>
    <row r="275">
      <c r="A275" s="3">
        <f>IFERROR(__xludf.DUMMYFUNCTION("""COMPUTED_VALUE"""),46303.75613608796)</f>
        <v>46303.75614</v>
      </c>
      <c r="B275" s="2" t="str">
        <f>IFERROR(__xludf.DUMMYFUNCTION("""COMPUTED_VALUE"""),"The services provided by the office were good, and the staff were helpful, accommodating, and professional.")</f>
        <v>The services provided by the office were good, and the staff were helpful, accommodating, and professional.</v>
      </c>
      <c r="C275" s="2" t="str">
        <f>IFERROR(__xludf.DUMMYFUNCTION("""COMPUTED_VALUE"""),"Improve communication by providing clear and timely updates regarding requirements, schedules, and other important information.")</f>
        <v>Improve communication by providing clear and timely updates regarding requirements, schedules, and other important information.</v>
      </c>
    </row>
    <row r="276">
      <c r="A276" s="3">
        <f>IFERROR(__xludf.DUMMYFUNCTION("""COMPUTED_VALUE"""),46303.76013596065)</f>
        <v>46303.76014</v>
      </c>
      <c r="B276" s="2" t="str">
        <f>IFERROR(__xludf.DUMMYFUNCTION("""COMPUTED_VALUE"""),"Good")</f>
        <v>Good</v>
      </c>
      <c r="C276" s="2" t="str">
        <f>IFERROR(__xludf.DUMMYFUNCTION("""COMPUTED_VALUE"""),"make it easier to communicate ")</f>
        <v>make it easier to communicate </v>
      </c>
    </row>
    <row r="277">
      <c r="A277" s="3">
        <f>IFERROR(__xludf.DUMMYFUNCTION("""COMPUTED_VALUE"""),46303.76095408565)</f>
        <v>46303.76095</v>
      </c>
      <c r="B277" s="2" t="str">
        <f>IFERROR(__xludf.DUMMYFUNCTION("""COMPUTED_VALUE"""),"Good")</f>
        <v>Good</v>
      </c>
      <c r="C277" s="2" t="str">
        <f>IFERROR(__xludf.DUMMYFUNCTION("""COMPUTED_VALUE"""),"Make communication")</f>
        <v>Make communication</v>
      </c>
    </row>
    <row r="278">
      <c r="A278" s="3">
        <f>IFERROR(__xludf.DUMMYFUNCTION("""COMPUTED_VALUE"""),46303.76355145834)</f>
        <v>46303.76355</v>
      </c>
      <c r="B278" s="2" t="str">
        <f>IFERROR(__xludf.DUMMYFUNCTION("""COMPUTED_VALUE"""),"Good")</f>
        <v>Good</v>
      </c>
      <c r="C278" s="2" t="str">
        <f>IFERROR(__xludf.DUMMYFUNCTION("""COMPUTED_VALUE"""),"For me there is a improve of communication but overall good")</f>
        <v>For me there is a improve of communication but overall good</v>
      </c>
    </row>
    <row r="279">
      <c r="A279" s="3">
        <f>IFERROR(__xludf.DUMMYFUNCTION("""COMPUTED_VALUE"""),46303.77220481481)</f>
        <v>46303.7722</v>
      </c>
      <c r="B279" s="2"/>
      <c r="C279" s="2" t="str">
        <f>IFERROR(__xludf.DUMMYFUNCTION("""COMPUTED_VALUE"""),"Good")</f>
        <v>Good</v>
      </c>
    </row>
    <row r="280">
      <c r="A280" s="3">
        <f>IFERROR(__xludf.DUMMYFUNCTION("""COMPUTED_VALUE"""),46303.80012696759)</f>
        <v>46303.80013</v>
      </c>
      <c r="B280" s="2" t="str">
        <f>IFERROR(__xludf.DUMMYFUNCTION("""COMPUTED_VALUE"""),"the services provided by the office are good, helpful, and satisfactory")</f>
        <v>the services provided by the office are good, helpful, and satisfactory</v>
      </c>
      <c r="C280" s="2" t="str">
        <f>IFERROR(__xludf.DUMMYFUNCTION("""COMPUTED_VALUE"""),"improve communication by providng clear and timely information and responding politely to concerns")</f>
        <v>improve communication by providng clear and timely information and responding politely to concerns</v>
      </c>
    </row>
    <row r="281">
      <c r="A281" s="3">
        <f>IFERROR(__xludf.DUMMYFUNCTION("""COMPUTED_VALUE"""),46303.80609010417)</f>
        <v>46303.80609</v>
      </c>
      <c r="B281" s="2" t="str">
        <f>IFERROR(__xludf.DUMMYFUNCTION("""COMPUTED_VALUE"""),"none")</f>
        <v>none</v>
      </c>
      <c r="C281" s="2" t="str">
        <f>IFERROR(__xludf.DUMMYFUNCTION("""COMPUTED_VALUE"""),"none")</f>
        <v>none</v>
      </c>
    </row>
    <row r="282">
      <c r="A282" s="3">
        <f>IFERROR(__xludf.DUMMYFUNCTION("""COMPUTED_VALUE"""),46303.82327129629)</f>
        <v>46303.82327</v>
      </c>
      <c r="B282" s="2" t="str">
        <f>IFERROR(__xludf.DUMMYFUNCTION("""COMPUTED_VALUE"""),"The services are good and helpful. The staff are polite and do their best to assist students like me.")</f>
        <v>The services are good and helpful. The staff are polite and do their best to assist students like me.</v>
      </c>
      <c r="C282" s="2" t="str">
        <f>IFERROR(__xludf.DUMMYFUNCTION("""COMPUTED_VALUE"""),"Improve communication by providing timely updates on requirements, schedules, and announcements through official fb page or group page. That's all. ")</f>
        <v>Improve communication by providing timely updates on requirements, schedules, and announcements through official fb page or group page. That's all. </v>
      </c>
    </row>
    <row r="283">
      <c r="A283" s="3">
        <f>IFERROR(__xludf.DUMMYFUNCTION("""COMPUTED_VALUE"""),46303.82386318287)</f>
        <v>46303.82386</v>
      </c>
      <c r="B283" s="2" t="str">
        <f>IFERROR(__xludf.DUMMYFUNCTION("""COMPUTED_VALUE"""),"good")</f>
        <v>good</v>
      </c>
      <c r="C283" s="2" t="str">
        <f>IFERROR(__xludf.DUMMYFUNCTION("""COMPUTED_VALUE"""),"n/a i like the service they give")</f>
        <v>n/a i like the service they give</v>
      </c>
    </row>
    <row r="284">
      <c r="A284" s="3">
        <f>IFERROR(__xludf.DUMMYFUNCTION("""COMPUTED_VALUE"""),46303.829662881944)</f>
        <v>46303.82966</v>
      </c>
      <c r="B284" s="2" t="str">
        <f>IFERROR(__xludf.DUMMYFUNCTION("""COMPUTED_VALUE"""),"Brilliant ")</f>
        <v>Brilliant </v>
      </c>
      <c r="C284" s="2" t="str">
        <f>IFERROR(__xludf.DUMMYFUNCTION("""COMPUTED_VALUE"""),"nothing")</f>
        <v>nothing</v>
      </c>
    </row>
    <row r="285">
      <c r="A285" s="3">
        <f>IFERROR(__xludf.DUMMYFUNCTION("""COMPUTED_VALUE"""),46303.8640329051)</f>
        <v>46303.86403</v>
      </c>
      <c r="B285" s="2" t="str">
        <f>IFERROR(__xludf.DUMMYFUNCTION("""COMPUTED_VALUE"""),"More than a good ")</f>
        <v>More than a good </v>
      </c>
      <c r="C285" s="2" t="str">
        <f>IFERROR(__xludf.DUMMYFUNCTION("""COMPUTED_VALUE"""),"Be a good communication ")</f>
        <v>Be a good communication </v>
      </c>
    </row>
    <row r="286">
      <c r="A286" s="3">
        <f>IFERROR(__xludf.DUMMYFUNCTION("""COMPUTED_VALUE"""),46303.86598084491)</f>
        <v>46303.86598</v>
      </c>
      <c r="B286" s="2" t="str">
        <f>IFERROR(__xludf.DUMMYFUNCTION("""COMPUTED_VALUE"""),"The response is good")</f>
        <v>The response is good</v>
      </c>
      <c r="C286" s="2" t="str">
        <f>IFERROR(__xludf.DUMMYFUNCTION("""COMPUTED_VALUE"""),"Be a good responsive")</f>
        <v>Be a good responsive</v>
      </c>
    </row>
    <row r="287">
      <c r="A287" s="3">
        <f>IFERROR(__xludf.DUMMYFUNCTION("""COMPUTED_VALUE"""),46303.87023681713)</f>
        <v>46303.87024</v>
      </c>
      <c r="B287" s="2" t="str">
        <f>IFERROR(__xludf.DUMMYFUNCTION("""COMPUTED_VALUE"""),"none")</f>
        <v>none</v>
      </c>
      <c r="C287" s="2"/>
    </row>
    <row r="288">
      <c r="A288" s="3">
        <f>IFERROR(__xludf.DUMMYFUNCTION("""COMPUTED_VALUE"""),46303.872203680556)</f>
        <v>46303.8722</v>
      </c>
      <c r="B288" s="2" t="str">
        <f>IFERROR(__xludf.DUMMYFUNCTION("""COMPUTED_VALUE"""),"VERY GOOD")</f>
        <v>VERY GOOD</v>
      </c>
      <c r="C288" s="2" t="str">
        <f>IFERROR(__xludf.DUMMYFUNCTION("""COMPUTED_VALUE"""),"Make the best")</f>
        <v>Make the best</v>
      </c>
    </row>
    <row r="289">
      <c r="A289" s="3">
        <f>IFERROR(__xludf.DUMMYFUNCTION("""COMPUTED_VALUE"""),46303.87293293982)</f>
        <v>46303.87293</v>
      </c>
      <c r="B289" s="2" t="str">
        <f>IFERROR(__xludf.DUMMYFUNCTION("""COMPUTED_VALUE"""),"excellent")</f>
        <v>excellent</v>
      </c>
      <c r="C289" s="2" t="str">
        <f>IFERROR(__xludf.DUMMYFUNCTION("""COMPUTED_VALUE"""),"make responsible")</f>
        <v>make responsible</v>
      </c>
    </row>
    <row r="290">
      <c r="A290" s="3">
        <f>IFERROR(__xludf.DUMMYFUNCTION("""COMPUTED_VALUE"""),46303.872980416665)</f>
        <v>46303.87298</v>
      </c>
      <c r="B290" s="2" t="str">
        <f>IFERROR(__xludf.DUMMYFUNCTION("""COMPUTED_VALUE"""),"good")</f>
        <v>good</v>
      </c>
      <c r="C290" s="2" t="str">
        <f>IFERROR(__xludf.DUMMYFUNCTION("""COMPUTED_VALUE"""),"I hope they will be approachable and kind to those who have concerns about something.")</f>
        <v>I hope they will be approachable and kind to those who have concerns about something.</v>
      </c>
    </row>
    <row r="291">
      <c r="A291" s="3">
        <f>IFERROR(__xludf.DUMMYFUNCTION("""COMPUTED_VALUE"""),46303.87361040509)</f>
        <v>46303.87361</v>
      </c>
      <c r="B291" s="2" t="str">
        <f>IFERROR(__xludf.DUMMYFUNCTION("""COMPUTED_VALUE"""),"Satisfied expectations ")</f>
        <v>Satisfied expectations </v>
      </c>
      <c r="C291" s="2" t="str">
        <f>IFERROR(__xludf.DUMMYFUNCTION("""COMPUTED_VALUE"""),"Friendliness and approachability ")</f>
        <v>Friendliness and approachability </v>
      </c>
    </row>
    <row r="292">
      <c r="A292" s="3">
        <f>IFERROR(__xludf.DUMMYFUNCTION("""COMPUTED_VALUE"""),46303.87488826389)</f>
        <v>46303.87489</v>
      </c>
      <c r="B292" s="2" t="str">
        <f>IFERROR(__xludf.DUMMYFUNCTION("""COMPUTED_VALUE"""),"nice")</f>
        <v>nice</v>
      </c>
      <c r="C292" s="2"/>
    </row>
    <row r="293">
      <c r="A293" s="3">
        <f>IFERROR(__xludf.DUMMYFUNCTION("""COMPUTED_VALUE"""),46303.876182141204)</f>
        <v>46303.87618</v>
      </c>
      <c r="B293" s="2" t="str">
        <f>IFERROR(__xludf.DUMMYFUNCTION("""COMPUTED_VALUE"""),"The services provided by the officer are good")</f>
        <v>The services provided by the officer are good</v>
      </c>
      <c r="C293" s="2" t="str">
        <f>IFERROR(__xludf.DUMMYFUNCTION("""COMPUTED_VALUE"""),"Maintain good communication and friendly service to customer ")</f>
        <v>Maintain good communication and friendly service to customer </v>
      </c>
    </row>
    <row r="294">
      <c r="A294" s="3">
        <f>IFERROR(__xludf.DUMMYFUNCTION("""COMPUTED_VALUE"""),46303.877824317125)</f>
        <v>46303.87782</v>
      </c>
      <c r="B294" s="2" t="str">
        <f>IFERROR(__xludf.DUMMYFUNCTION("""COMPUTED_VALUE"""),"Good ")</f>
        <v>Good </v>
      </c>
      <c r="C294" s="2" t="str">
        <f>IFERROR(__xludf.DUMMYFUNCTION("""COMPUTED_VALUE"""),"Good communication, friendly service and be respectful ")</f>
        <v>Good communication, friendly service and be respectful </v>
      </c>
    </row>
    <row r="295">
      <c r="A295" s="3">
        <f>IFERROR(__xludf.DUMMYFUNCTION("""COMPUTED_VALUE"""),46303.88128753472)</f>
        <v>46303.88129</v>
      </c>
      <c r="B295" s="2" t="str">
        <f>IFERROR(__xludf.DUMMYFUNCTION("""COMPUTED_VALUE"""),"Good ")</f>
        <v>Good </v>
      </c>
      <c r="C295" s="2" t="str">
        <f>IFERROR(__xludf.DUMMYFUNCTION("""COMPUTED_VALUE"""),"I hope they approach things more kindly because sometimes students make mistakes and don't know what to do. ")</f>
        <v>I hope they approach things more kindly because sometimes students make mistakes and don't know what to do. </v>
      </c>
    </row>
    <row r="296">
      <c r="A296" s="3">
        <f>IFERROR(__xludf.DUMMYFUNCTION("""COMPUTED_VALUE"""),46303.882616319446)</f>
        <v>46303.88262</v>
      </c>
      <c r="B296" s="2" t="str">
        <f>IFERROR(__xludf.DUMMYFUNCTION("""COMPUTED_VALUE"""),"Great")</f>
        <v>Great</v>
      </c>
      <c r="C296" s="2" t="str">
        <f>IFERROR(__xludf.DUMMYFUNCTION("""COMPUTED_VALUE"""),"Good communication")</f>
        <v>Good communication</v>
      </c>
    </row>
    <row r="297">
      <c r="A297" s="3">
        <f>IFERROR(__xludf.DUMMYFUNCTION("""COMPUTED_VALUE"""),46303.882947418984)</f>
        <v>46303.88295</v>
      </c>
      <c r="B297" s="2" t="str">
        <f>IFERROR(__xludf.DUMMYFUNCTION("""COMPUTED_VALUE"""),"good")</f>
        <v>good</v>
      </c>
      <c r="C297" s="2" t="str">
        <f>IFERROR(__xludf.DUMMYFUNCTION("""COMPUTED_VALUE"""),"make good communication ")</f>
        <v>make good communication </v>
      </c>
    </row>
    <row r="298">
      <c r="A298" s="3">
        <f>IFERROR(__xludf.DUMMYFUNCTION("""COMPUTED_VALUE"""),46303.88485170139)</f>
        <v>46303.88485</v>
      </c>
      <c r="B298" s="2" t="str">
        <f>IFERROR(__xludf.DUMMYFUNCTION("""COMPUTED_VALUE"""),"good")</f>
        <v>good</v>
      </c>
      <c r="C298" s="2" t="str">
        <f>IFERROR(__xludf.DUMMYFUNCTION("""COMPUTED_VALUE"""),"make good communication ")</f>
        <v>make good communication </v>
      </c>
    </row>
    <row r="299">
      <c r="A299" s="3">
        <f>IFERROR(__xludf.DUMMYFUNCTION("""COMPUTED_VALUE"""),46303.885204328704)</f>
        <v>46303.8852</v>
      </c>
      <c r="B299" s="2" t="str">
        <f>IFERROR(__xludf.DUMMYFUNCTION("""COMPUTED_VALUE"""),"The services provided by the office are good and helpful. The staff are accommodating and assist customers properly.")</f>
        <v>The services provided by the office are good and helpful. The staff are accommodating and assist customers properly.</v>
      </c>
      <c r="C299" s="2" t="str">
        <f>IFERROR(__xludf.DUMMYFUNCTION("""COMPUTED_VALUE"""),"Improve communication and provide clear information to customers. The staff should also be friendly, approachable, and responsive to questions.")</f>
        <v>Improve communication and provide clear information to customers. The staff should also be friendly, approachable, and responsive to questions.</v>
      </c>
    </row>
    <row r="300">
      <c r="A300" s="3">
        <f>IFERROR(__xludf.DUMMYFUNCTION("""COMPUTED_VALUE"""),46303.88538886574)</f>
        <v>46303.88539</v>
      </c>
      <c r="B300" s="2" t="str">
        <f>IFERROR(__xludf.DUMMYFUNCTION("""COMPUTED_VALUE"""),"Good")</f>
        <v>Good</v>
      </c>
      <c r="C300" s="2" t="str">
        <f>IFERROR(__xludf.DUMMYFUNCTION("""COMPUTED_VALUE"""),"Good")</f>
        <v>Good</v>
      </c>
    </row>
    <row r="301">
      <c r="A301" s="3">
        <f>IFERROR(__xludf.DUMMYFUNCTION("""COMPUTED_VALUE"""),46303.88683469908)</f>
        <v>46303.88683</v>
      </c>
      <c r="B301" s="2" t="str">
        <f>IFERROR(__xludf.DUMMYFUNCTION("""COMPUTED_VALUE"""),"Good ")</f>
        <v>Good </v>
      </c>
      <c r="C301" s="2" t="str">
        <f>IFERROR(__xludf.DUMMYFUNCTION("""COMPUTED_VALUE"""),"I hope they will be kind enough to answer and polite , because sometimes there are students they don't know what to say and sometimes they not sure where to give it. ")</f>
        <v>I hope they will be kind enough to answer and polite , because sometimes there are students they don't know what to say and sometimes they not sure where to give it. </v>
      </c>
    </row>
    <row r="302">
      <c r="A302" s="3">
        <f>IFERROR(__xludf.DUMMYFUNCTION("""COMPUTED_VALUE"""),46303.908456805555)</f>
        <v>46303.90846</v>
      </c>
      <c r="B302" s="2" t="str">
        <f>IFERROR(__xludf.DUMMYFUNCTION("""COMPUTED_VALUE"""),"None")</f>
        <v>None</v>
      </c>
      <c r="C302" s="2" t="str">
        <f>IFERROR(__xludf.DUMMYFUNCTION("""COMPUTED_VALUE"""),"Some employees are mean to me so please hire more people that are capable and kinder")</f>
        <v>Some employees are mean to me so please hire more people that are capable and kinder</v>
      </c>
    </row>
    <row r="303">
      <c r="A303" s="3">
        <f>IFERROR(__xludf.DUMMYFUNCTION("""COMPUTED_VALUE"""),46303.945882789354)</f>
        <v>46303.94588</v>
      </c>
      <c r="B303" s="2" t="str">
        <f>IFERROR(__xludf.DUMMYFUNCTION("""COMPUTED_VALUE"""),"good as like me")</f>
        <v>good as like me</v>
      </c>
      <c r="C303" s="2" t="str">
        <f>IFERROR(__xludf.DUMMYFUNCTION("""COMPUTED_VALUE"""),"more good person")</f>
        <v>more good person</v>
      </c>
    </row>
    <row r="304">
      <c r="A304" s="3">
        <f>IFERROR(__xludf.DUMMYFUNCTION("""COMPUTED_VALUE"""),46303.9898699537)</f>
        <v>46303.98987</v>
      </c>
      <c r="B304" s="2" t="str">
        <f>IFERROR(__xludf.DUMMYFUNCTION("""COMPUTED_VALUE"""),"It is Good")</f>
        <v>It is Good</v>
      </c>
      <c r="C304" s="2" t="str">
        <f>IFERROR(__xludf.DUMMYFUNCTION("""COMPUTED_VALUE"""),"Nothing because the staffs from the office treat us well")</f>
        <v>Nothing because the staffs from the office treat us well</v>
      </c>
    </row>
    <row r="305">
      <c r="A305" s="3">
        <f>IFERROR(__xludf.DUMMYFUNCTION("""COMPUTED_VALUE"""),46304.00138350694)</f>
        <v>46304.00138</v>
      </c>
      <c r="B305" s="2"/>
      <c r="C305" s="2" t="str">
        <f>IFERROR(__xludf.DUMMYFUNCTION("""COMPUTED_VALUE"""),"
")</f>
        <v>
</v>
      </c>
    </row>
    <row r="306">
      <c r="A306" s="3">
        <f>IFERROR(__xludf.DUMMYFUNCTION("""COMPUTED_VALUE"""),46304.014575451394)</f>
        <v>46304.01458</v>
      </c>
      <c r="B306" s="2" t="str">
        <f>IFERROR(__xludf.DUMMYFUNCTION("""COMPUTED_VALUE"""),"good")</f>
        <v>good</v>
      </c>
      <c r="C306" s="2"/>
    </row>
    <row r="307">
      <c r="A307" s="3">
        <f>IFERROR(__xludf.DUMMYFUNCTION("""COMPUTED_VALUE"""),46304.05891885416)</f>
        <v>46304.05892</v>
      </c>
      <c r="B307" s="2" t="str">
        <f>IFERROR(__xludf.DUMMYFUNCTION("""COMPUTED_VALUE"""),"good")</f>
        <v>good</v>
      </c>
      <c r="C307" s="2" t="str">
        <f>IFERROR(__xludf.DUMMYFUNCTION("""COMPUTED_VALUE"""),"good manners and good communication ")</f>
        <v>good manners and good communication </v>
      </c>
    </row>
    <row r="308">
      <c r="A308" s="3">
        <f>IFERROR(__xludf.DUMMYFUNCTION("""COMPUTED_VALUE"""),46304.332713344906)</f>
        <v>46304.33271</v>
      </c>
      <c r="B308" s="2" t="str">
        <f>IFERROR(__xludf.DUMMYFUNCTION("""COMPUTED_VALUE"""),"Thank you for your service")</f>
        <v>Thank you for your service</v>
      </c>
      <c r="C308" s="2"/>
    </row>
    <row r="309">
      <c r="A309" s="3">
        <f>IFERROR(__xludf.DUMMYFUNCTION("""COMPUTED_VALUE"""),46304.412026238424)</f>
        <v>46304.41203</v>
      </c>
      <c r="B309" s="2" t="str">
        <f>IFERROR(__xludf.DUMMYFUNCTION("""COMPUTED_VALUE"""),"The office provides good service, and the staff are helpful, accommodating, and respectful to customers.")</f>
        <v>The office provides good service, and the staff are helpful, accommodating, and respectful to customers.</v>
      </c>
      <c r="C309" s="2" t="str">
        <f>IFERROR(__xludf.DUMMYFUNCTION("""COMPUTED_VALUE"""),"Improve customer service by providing faster transactions, friendly staff, clear instructions, and a clean, comfortable waiting area.")</f>
        <v>Improve customer service by providing faster transactions, friendly staff, clear instructions, and a clean, comfortable waiting area.</v>
      </c>
    </row>
    <row r="310">
      <c r="A310" s="3">
        <f>IFERROR(__xludf.DUMMYFUNCTION("""COMPUTED_VALUE"""),46304.459631805556)</f>
        <v>46304.45963</v>
      </c>
      <c r="B310" s="2" t="str">
        <f>IFERROR(__xludf.DUMMYFUNCTION("""COMPUTED_VALUE"""),"Good")</f>
        <v>Good</v>
      </c>
      <c r="C310" s="2" t="str">
        <f>IFERROR(__xludf.DUMMYFUNCTION("""COMPUTED_VALUE"""),"Good service")</f>
        <v>Good service</v>
      </c>
    </row>
    <row r="311">
      <c r="A311" s="3">
        <f>IFERROR(__xludf.DUMMYFUNCTION("""COMPUTED_VALUE"""),46304.46548368056)</f>
        <v>46304.46548</v>
      </c>
      <c r="B311" s="2" t="str">
        <f>IFERROR(__xludf.DUMMYFUNCTION("""COMPUTED_VALUE"""),"Good")</f>
        <v>Good</v>
      </c>
      <c r="C311" s="2" t="str">
        <f>IFERROR(__xludf.DUMMYFUNCTION("""COMPUTED_VALUE"""),"Make good communication ")</f>
        <v>Make good communication </v>
      </c>
    </row>
    <row r="312">
      <c r="A312" s="3">
        <f>IFERROR(__xludf.DUMMYFUNCTION("""COMPUTED_VALUE"""),46304.46599181713)</f>
        <v>46304.46599</v>
      </c>
      <c r="B312" s="2" t="str">
        <f>IFERROR(__xludf.DUMMYFUNCTION("""COMPUTED_VALUE"""),"Good")</f>
        <v>Good</v>
      </c>
      <c r="C312" s="2" t="str">
        <f>IFERROR(__xludf.DUMMYFUNCTION("""COMPUTED_VALUE"""),"Make good communication ")</f>
        <v>Make good communication </v>
      </c>
    </row>
    <row r="313">
      <c r="A313" s="3">
        <f>IFERROR(__xludf.DUMMYFUNCTION("""COMPUTED_VALUE"""),46304.47031710648)</f>
        <v>46304.47032</v>
      </c>
      <c r="B313" s="2" t="str">
        <f>IFERROR(__xludf.DUMMYFUNCTION("""COMPUTED_VALUE"""),"Having accommodating teachers and approachable staff significantly improves the overall school climate, making daily interactions smoother for everyone involved.")</f>
        <v>Having accommodating teachers and approachable staff significantly improves the overall school climate, making daily interactions smoother for everyone involved.</v>
      </c>
      <c r="C313" s="2" t="str">
        <f>IFERROR(__xludf.DUMMYFUNCTION("""COMPUTED_VALUE"""),"To improve customer experience and communication in an office setting, implement these actionable strategies grounded in best practices from Indeed and Freshworks:")</f>
        <v>To improve customer experience and communication in an office setting, implement these actionable strategies grounded in best practices from Indeed and Freshworks:</v>
      </c>
    </row>
    <row r="314">
      <c r="A314" s="3">
        <f>IFERROR(__xludf.DUMMYFUNCTION("""COMPUTED_VALUE"""),46304.53126454861)</f>
        <v>46304.53126</v>
      </c>
      <c r="B314" s="2" t="str">
        <f>IFERROR(__xludf.DUMMYFUNCTION("""COMPUTED_VALUE"""),"Good")</f>
        <v>Good</v>
      </c>
      <c r="C314" s="2" t="str">
        <f>IFERROR(__xludf.DUMMYFUNCTION("""COMPUTED_VALUE"""),"Make transaction online")</f>
        <v>Make transaction online</v>
      </c>
    </row>
    <row r="315">
      <c r="A315" s="3">
        <f>IFERROR(__xludf.DUMMYFUNCTION("""COMPUTED_VALUE"""),46304.61559606482)</f>
        <v>46304.6156</v>
      </c>
      <c r="B315" s="2"/>
      <c r="C315" s="2" t="str">
        <f>IFERROR(__xludf.DUMMYFUNCTION("""COMPUTED_VALUE"""),"Good")</f>
        <v>Good</v>
      </c>
    </row>
    <row r="316">
      <c r="A316" s="3">
        <f>IFERROR(__xludf.DUMMYFUNCTION("""COMPUTED_VALUE"""),46304.707659155094)</f>
        <v>46304.70766</v>
      </c>
      <c r="B316" s="2" t="str">
        <f>IFERROR(__xludf.DUMMYFUNCTION("""COMPUTED_VALUE"""),"N/A")</f>
        <v>N/A</v>
      </c>
      <c r="C316" s="2" t="str">
        <f>IFERROR(__xludf.DUMMYFUNCTION("""COMPUTED_VALUE"""),"N/A")</f>
        <v>N/A</v>
      </c>
    </row>
    <row r="317">
      <c r="A317" s="3">
        <f>IFERROR(__xludf.DUMMYFUNCTION("""COMPUTED_VALUE"""),46304.7174787963)</f>
        <v>46304.71748</v>
      </c>
      <c r="B317" s="2" t="str">
        <f>IFERROR(__xludf.DUMMYFUNCTION("""COMPUTED_VALUE"""),"good")</f>
        <v>good</v>
      </c>
      <c r="C317" s="2" t="str">
        <f>IFERROR(__xludf.DUMMYFUNCTION("""COMPUTED_VALUE"""),"more approachable ")</f>
        <v>more approachable </v>
      </c>
    </row>
    <row r="318">
      <c r="A318" s="3">
        <f>IFERROR(__xludf.DUMMYFUNCTION("""COMPUTED_VALUE"""),46304.71832539352)</f>
        <v>46304.71833</v>
      </c>
      <c r="B318" s="2" t="str">
        <f>IFERROR(__xludf.DUMMYFUNCTION("""COMPUTED_VALUE"""),"good, teachers and staff are accommodating ")</f>
        <v>good, teachers and staff are accommodating </v>
      </c>
      <c r="C318" s="2" t="str">
        <f>IFERROR(__xludf.DUMMYFUNCTION("""COMPUTED_VALUE"""),"make good communication ")</f>
        <v>make good communication </v>
      </c>
    </row>
    <row r="319">
      <c r="A319" s="3">
        <f>IFERROR(__xludf.DUMMYFUNCTION("""COMPUTED_VALUE"""),46304.72506943287)</f>
        <v>46304.72507</v>
      </c>
      <c r="B319" s="2" t="str">
        <f>IFERROR(__xludf.DUMMYFUNCTION("""COMPUTED_VALUE"""),"Yes, they're so good. ")</f>
        <v>Yes, they're so good. </v>
      </c>
      <c r="C319" s="2" t="str">
        <f>IFERROR(__xludf.DUMMYFUNCTION("""COMPUTED_VALUE"""),"None")</f>
        <v>None</v>
      </c>
    </row>
    <row r="320">
      <c r="A320" s="3">
        <f>IFERROR(__xludf.DUMMYFUNCTION("""COMPUTED_VALUE"""),46304.72611481481)</f>
        <v>46304.72611</v>
      </c>
      <c r="B320" s="2" t="str">
        <f>IFERROR(__xludf.DUMMYFUNCTION("""COMPUTED_VALUE"""),"great teacher and staff")</f>
        <v>great teacher and staff</v>
      </c>
      <c r="C320" s="2" t="str">
        <f>IFERROR(__xludf.DUMMYFUNCTION("""COMPUTED_VALUE"""),"make good communication ")</f>
        <v>make good communication </v>
      </c>
    </row>
    <row r="321">
      <c r="A321" s="3">
        <f>IFERROR(__xludf.DUMMYFUNCTION("""COMPUTED_VALUE"""),46304.73407118056)</f>
        <v>46304.73407</v>
      </c>
      <c r="B321" s="2" t="str">
        <f>IFERROR(__xludf.DUMMYFUNCTION("""COMPUTED_VALUE"""),"Teachers and staff are accommodating.")</f>
        <v>Teachers and staff are accommodating.</v>
      </c>
      <c r="C321" s="2" t="str">
        <f>IFERROR(__xludf.DUMMYFUNCTION("""COMPUTED_VALUE"""),"None")</f>
        <v>None</v>
      </c>
    </row>
    <row r="322">
      <c r="A322" s="3">
        <f>IFERROR(__xludf.DUMMYFUNCTION("""COMPUTED_VALUE"""),46304.77877351852)</f>
        <v>46304.77877</v>
      </c>
      <c r="B322" s="2" t="str">
        <f>IFERROR(__xludf.DUMMYFUNCTION("""COMPUTED_VALUE"""),"It's good teacher's and staff are kind and very understanding ")</f>
        <v>It's good teacher's and staff are kind and very understanding </v>
      </c>
      <c r="C322" s="2" t="str">
        <f>IFERROR(__xludf.DUMMYFUNCTION("""COMPUTED_VALUE"""),"Maintain good communication and continue treating customers with kindness and respect.")</f>
        <v>Maintain good communication and continue treating customers with kindness and respect.</v>
      </c>
    </row>
    <row r="323">
      <c r="A323" s="3">
        <f>IFERROR(__xludf.DUMMYFUNCTION("""COMPUTED_VALUE"""),46304.79076912037)</f>
        <v>46304.79077</v>
      </c>
      <c r="B323" s="2" t="str">
        <f>IFERROR(__xludf.DUMMYFUNCTION("""COMPUTED_VALUE"""),"None.")</f>
        <v>None.</v>
      </c>
      <c r="C323" s="2" t="str">
        <f>IFERROR(__xludf.DUMMYFUNCTION("""COMPUTED_VALUE"""),"maybe approach students kindly and respectfully ")</f>
        <v>maybe approach students kindly and respectfully </v>
      </c>
    </row>
    <row r="324">
      <c r="A324" s="3">
        <f>IFERROR(__xludf.DUMMYFUNCTION("""COMPUTED_VALUE"""),46304.81526092593)</f>
        <v>46304.81526</v>
      </c>
      <c r="B324" s="2" t="str">
        <f>IFERROR(__xludf.DUMMYFUNCTION("""COMPUTED_VALUE"""),"Good
")</f>
        <v>Good
</v>
      </c>
      <c r="C324" s="2"/>
    </row>
    <row r="325">
      <c r="A325" s="3">
        <f>IFERROR(__xludf.DUMMYFUNCTION("""COMPUTED_VALUE"""),46304.877678530094)</f>
        <v>46304.87768</v>
      </c>
      <c r="B325" s="2" t="str">
        <f>IFERROR(__xludf.DUMMYFUNCTION("""COMPUTED_VALUE"""),"N/A")</f>
        <v>N/A</v>
      </c>
      <c r="C325" s="2" t="str">
        <f>IFERROR(__xludf.DUMMYFUNCTION("""COMPUTED_VALUE"""),"N/A")</f>
        <v>N/A</v>
      </c>
    </row>
    <row r="326">
      <c r="A326" s="3">
        <f>IFERROR(__xludf.DUMMYFUNCTION("""COMPUTED_VALUE"""),46304.909728865736)</f>
        <v>46304.90973</v>
      </c>
      <c r="B326" s="2" t="str">
        <f>IFERROR(__xludf.DUMMYFUNCTION("""COMPUTED_VALUE"""),".")</f>
        <v>.</v>
      </c>
      <c r="C326" s="2" t="str">
        <f>IFERROR(__xludf.DUMMYFUNCTION("""COMPUTED_VALUE"""),".")</f>
        <v>.</v>
      </c>
    </row>
    <row r="327">
      <c r="A327" s="3">
        <f>IFERROR(__xludf.DUMMYFUNCTION("""COMPUTED_VALUE"""),46304.99091940973)</f>
        <v>46304.99092</v>
      </c>
      <c r="B327" s="2" t="str">
        <f>IFERROR(__xludf.DUMMYFUNCTION("""COMPUTED_VALUE"""),"The office provides good and reliable services, with accommodating staff who are helpful and approachable.
")</f>
        <v>The office provides good and reliable services, with accommodating staff who are helpful and approachable.
</v>
      </c>
      <c r="C327" s="2" t="str">
        <f>IFERROR(__xludf.DUMMYFUNCTION("""COMPUTED_VALUE"""),"Continue maintaining the office’s good service and professionalism while finding small ways to make the customer experience even more comfortable and convenient.
")</f>
        <v>Continue maintaining the office’s good service and professionalism while finding small ways to make the customer experience even more comfortable and convenient.
</v>
      </c>
    </row>
    <row r="328">
      <c r="A328" s="3">
        <f>IFERROR(__xludf.DUMMYFUNCTION("""COMPUTED_VALUE"""),46305.19494634259)</f>
        <v>46305.19495</v>
      </c>
      <c r="B328" s="2" t="str">
        <f>IFERROR(__xludf.DUMMYFUNCTION("""COMPUTED_VALUE"""),"N/A")</f>
        <v>N/A</v>
      </c>
      <c r="C328" s="2" t="str">
        <f>IFERROR(__xludf.DUMMYFUNCTION("""COMPUTED_VALUE"""),"N/A")</f>
        <v>N/A</v>
      </c>
    </row>
    <row r="329">
      <c r="A329" s="3">
        <f>IFERROR(__xludf.DUMMYFUNCTION("""COMPUTED_VALUE"""),46305.344536793986)</f>
        <v>46305.34454</v>
      </c>
      <c r="B329" s="2" t="str">
        <f>IFERROR(__xludf.DUMMYFUNCTION("""COMPUTED_VALUE"""),"They treat customers with respect and provide assistance whenever needed. ")</f>
        <v>They treat customers with respect and provide assistance whenever needed. </v>
      </c>
      <c r="C329" s="2" t="str">
        <f>IFERROR(__xludf.DUMMYFUNCTION("""COMPUTED_VALUE"""),"Ensure that all staff members are friendly approachable, respectful and patient when assisting customer. ")</f>
        <v>Ensure that all staff members are friendly approachable, respectful and patient when assisting customer. </v>
      </c>
    </row>
    <row r="330">
      <c r="A330" s="3">
        <f>IFERROR(__xludf.DUMMYFUNCTION("""COMPUTED_VALUE"""),46305.363291828704)</f>
        <v>46305.36329</v>
      </c>
      <c r="B330" s="2" t="str">
        <f>IFERROR(__xludf.DUMMYFUNCTION("""COMPUTED_VALUE"""),"The services provided by the office are good and helpful. The staff are accommodating, respectful, and willing to assist customers with their concerns. However, improving the speed of service and providing clear information can make the overall customer e"&amp;"xperience even better.")</f>
        <v>The services provided by the office are good and helpful. The staff are accommodating, respectful, and willing to assist customers with their concerns. However, improving the speed of service and providing clear information can make the overall customer experience even better.</v>
      </c>
      <c r="C330" s="2" t="str">
        <f>IFERROR(__xludf.DUMMYFUNCTION("""COMPUTED_VALUE"""),"I suggest that the office improve customer experience by providing faster and more efficient service, treating customers with respect and friendliness, keeping the office clean and organized, and giving clear information and instructions. The staff should"&amp;" also be approachable, patient, and responsive to customers’ concerns to ensure everyone feels welcome and satisfied.")</f>
        <v>I suggest that the office improve customer experience by providing faster and more efficient service, treating customers with respect and friendliness, keeping the office clean and organized, and giving clear information and instructions. The staff should also be approachable, patient, and responsive to customers’ concerns to ensure everyone feels welcome and satisfied.</v>
      </c>
    </row>
    <row r="331">
      <c r="A331" s="3">
        <f>IFERROR(__xludf.DUMMYFUNCTION("""COMPUTED_VALUE"""),46305.36431809027)</f>
        <v>46305.36432</v>
      </c>
      <c r="B331" s="2" t="str">
        <f>IFERROR(__xludf.DUMMYFUNCTION("""COMPUTED_VALUE"""),"good")</f>
        <v>good</v>
      </c>
      <c r="C331" s="2" t="str">
        <f>IFERROR(__xludf.DUMMYFUNCTION("""COMPUTED_VALUE"""),"n/a")</f>
        <v>n/a</v>
      </c>
    </row>
    <row r="332">
      <c r="A332" s="3">
        <f>IFERROR(__xludf.DUMMYFUNCTION("""COMPUTED_VALUE"""),46305.36604641203)</f>
        <v>46305.36605</v>
      </c>
      <c r="B332" s="2" t="str">
        <f>IFERROR(__xludf.DUMMYFUNCTION("""COMPUTED_VALUE"""),"The services provided by the office are good. The teachers and staff are accommodating, helpful, and approachable.")</f>
        <v>The services provided by the office are good. The teachers and staff are accommodating, helpful, and approachable.</v>
      </c>
      <c r="C332" s="2" t="str">
        <f>IFERROR(__xludf.DUMMYFUNCTION("""COMPUTED_VALUE"""),"Improve communication by providing clear, timely and consistent updates to clients and addressing their concerns promptly.")</f>
        <v>Improve communication by providing clear, timely and consistent updates to clients and addressing their concerns promptly.</v>
      </c>
    </row>
    <row r="333">
      <c r="A333" s="3">
        <f>IFERROR(__xludf.DUMMYFUNCTION("""COMPUTED_VALUE"""),46305.39333548611)</f>
        <v>46305.39334</v>
      </c>
      <c r="B333" s="2" t="str">
        <f>IFERROR(__xludf.DUMMYFUNCTION("""COMPUTED_VALUE"""),"its very understandnable
")</f>
        <v>its very understandnable
</v>
      </c>
      <c r="C333" s="2" t="str">
        <f>IFERROR(__xludf.DUMMYFUNCTION("""COMPUTED_VALUE"""),"nothing")</f>
        <v>nothing</v>
      </c>
    </row>
    <row r="334">
      <c r="A334" s="3">
        <f>IFERROR(__xludf.DUMMYFUNCTION("""COMPUTED_VALUE"""),46305.399980277776)</f>
        <v>46305.39998</v>
      </c>
      <c r="B334" s="2" t="str">
        <f>IFERROR(__xludf.DUMMYFUNCTION("""COMPUTED_VALUE"""),"Very good")</f>
        <v>Very good</v>
      </c>
      <c r="C334" s="2" t="str">
        <f>IFERROR(__xludf.DUMMYFUNCTION("""COMPUTED_VALUE"""),"Nothing")</f>
        <v>Nothing</v>
      </c>
    </row>
    <row r="335">
      <c r="A335" s="3">
        <f>IFERROR(__xludf.DUMMYFUNCTION("""COMPUTED_VALUE"""),46305.45295196759)</f>
        <v>46305.45295</v>
      </c>
      <c r="B335" s="2" t="str">
        <f>IFERROR(__xludf.DUMMYFUNCTION("""COMPUTED_VALUE"""),"The services are good, and the teachers and staff are accommodating")</f>
        <v>The services are good, and the teachers and staff are accommodating</v>
      </c>
      <c r="C335" s="2" t="str">
        <f>IFERROR(__xludf.DUMMYFUNCTION("""COMPUTED_VALUE"""),"Improve communication")</f>
        <v>Improve communication</v>
      </c>
    </row>
    <row r="336">
      <c r="A336" s="3">
        <f>IFERROR(__xludf.DUMMYFUNCTION("""COMPUTED_VALUE"""),46305.453890000004)</f>
        <v>46305.45389</v>
      </c>
      <c r="B336" s="2" t="str">
        <f>IFERROR(__xludf.DUMMYFUNCTION("""COMPUTED_VALUE"""),"The services are good, and the teachers and staff are accommodating")</f>
        <v>The services are good, and the teachers and staff are accommodating</v>
      </c>
      <c r="C336" s="2" t="str">
        <f>IFERROR(__xludf.DUMMYFUNCTION("""COMPUTED_VALUE"""),"Improve communication ")</f>
        <v>Improve communication </v>
      </c>
    </row>
  </sheetData>
  <drawing r:id="rId1"/>
</worksheet>
</file>