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<sst xmlns="http://schemas.openxmlformats.org/spreadsheetml/2006/main" count="166" uniqueCount="76">
  <si>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</si>
  <si>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</si>
  <si>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>Date of Transaction</t>
  </si>
  <si>
    <t>Client Type</t>
  </si>
  <si>
    <t>Unit/Affiliation</t>
  </si>
  <si>
    <t>Sex</t>
  </si>
  <si>
    <t>Services Availed: Alumni Affairs</t>
  </si>
  <si>
    <r>
      <rPr>
        <rFont val="Arial"/>
        <b/>
        <i/>
        <color theme="1"/>
      </rPr>
      <t>RESPONSIVENESS</t>
    </r>
    <r>
      <rPr>
        <rFont val="Arial"/>
        <color theme="1"/>
      </rPr>
      <t xml:space="preserve">
I spent a reasonable amount of time completing my transaction.</t>
    </r>
  </si>
  <si>
    <r>
      <rPr>
        <rFont val="Arial"/>
        <b/>
        <color theme="1"/>
      </rPr>
      <t>RELIABILITY</t>
    </r>
    <r>
      <rPr>
        <rFont val="Arial"/>
        <color theme="1"/>
      </rPr>
      <t xml:space="preserve">
My transaction with the office is consistent with the specified requirements and steps.</t>
    </r>
  </si>
  <si>
    <r>
      <rPr>
        <rFont val="Arial"/>
        <b/>
        <color theme="1"/>
      </rPr>
      <t>ACCESS AND FACILITIES</t>
    </r>
    <r>
      <rPr>
        <rFont val="Arial"/>
        <color theme="1"/>
      </rPr>
      <t xml:space="preserve">
My transaction, including steps and payments was simple and convenient. The service was provided in a conducive environment.</t>
    </r>
  </si>
  <si>
    <r>
      <rPr>
        <rFont val="Arial"/>
        <b/>
        <color theme="1"/>
      </rPr>
      <t>COMMUNICATION</t>
    </r>
    <r>
      <rPr>
        <rFont val="Arial"/>
        <color theme="1"/>
      </rPr>
      <t xml:space="preserve">
The office promptly and clearly communicated the details of my request.</t>
    </r>
  </si>
  <si>
    <r>
      <rPr>
        <rFont val="Arial"/>
        <b/>
        <color theme="1"/>
      </rPr>
      <t>COSTS</t>
    </r>
    <r>
      <rPr>
        <rFont val="Arial"/>
        <color theme="1"/>
      </rPr>
      <t xml:space="preserve">
The fees I paid for my transaction were fair and reasonable.</t>
    </r>
  </si>
  <si>
    <r>
      <rPr>
        <rFont val="Arial"/>
        <b/>
        <color theme="1"/>
      </rPr>
      <t>INTEGRITY</t>
    </r>
    <r>
      <rPr>
        <rFont val="Arial"/>
        <color theme="1"/>
      </rPr>
      <t xml:space="preserve">
The office treated me fairly and honestly during my transaction.</t>
    </r>
  </si>
  <si>
    <r>
      <rPr>
        <rFont val="Arial"/>
        <b/>
        <color theme="1"/>
      </rPr>
      <t>ASSURANCE</t>
    </r>
    <r>
      <rPr>
        <rFont val="Arial"/>
        <color theme="1"/>
      </rPr>
      <t xml:space="preserve">
I was treated professionally by a knowledgeable and polite staff.</t>
    </r>
  </si>
  <si>
    <r>
      <rPr>
        <rFont val="Arial"/>
        <b/>
        <color theme="1"/>
      </rPr>
      <t>OUTCOME</t>
    </r>
    <r>
      <rPr>
        <rFont val="Arial"/>
        <color theme="1"/>
      </rPr>
      <t xml:space="preserve">
I’m satisfied with my overall transaction with the office.</t>
    </r>
  </si>
  <si>
    <t xml:space="preserve">How likely are you to recommend our services to others? </t>
  </si>
  <si>
    <t xml:space="preserve">What can you comment about the services provided by the office? </t>
  </si>
  <si>
    <t xml:space="preserve">What are your suggestions to improve customer experience with this office? </t>
  </si>
  <si>
    <t>I AGREE</t>
  </si>
  <si>
    <t>Alumni</t>
  </si>
  <si>
    <t xml:space="preserve">Retired </t>
  </si>
  <si>
    <t>Female</t>
  </si>
  <si>
    <t>Facilitation of Alumni Reunions/Assemblies</t>
  </si>
  <si>
    <t>Promptly attended my concern</t>
  </si>
  <si>
    <t>Prompt action to concerns</t>
  </si>
  <si>
    <t>FCUAAI</t>
  </si>
  <si>
    <t>Male</t>
  </si>
  <si>
    <t xml:space="preserve">Facilitation of Alumni Reunions/Assemblies, </t>
  </si>
  <si>
    <t>Effective and efficient services and friendly personnel</t>
  </si>
  <si>
    <t xml:space="preserve">HS Batch 1989 </t>
  </si>
  <si>
    <t>It was a very professional and reliable.</t>
  </si>
  <si>
    <t>Be consistent everyday whoever and whatever your client especially the alumni needs.</t>
  </si>
  <si>
    <t>Faculty/Staff</t>
  </si>
  <si>
    <t>Jhs</t>
  </si>
  <si>
    <t>Opportunities for Networking of Students/Faculty/Staff</t>
  </si>
  <si>
    <t>Very good</t>
  </si>
  <si>
    <t>None</t>
  </si>
  <si>
    <t>FCUAAI -Vice President</t>
  </si>
  <si>
    <t>Facilitation of Alumni Reunions/Assemblies, Engagement/Updates from Digital Platforms, Opportunities for Networking of Students/Faculty/Staff</t>
  </si>
  <si>
    <t>All are excellent</t>
  </si>
  <si>
    <t>None - All is good already</t>
  </si>
  <si>
    <t>Guest</t>
  </si>
  <si>
    <t>Admin</t>
  </si>
  <si>
    <t>Good job</t>
  </si>
  <si>
    <t>N/a</t>
  </si>
  <si>
    <t>FCU</t>
  </si>
  <si>
    <t>Facilitation of Alumni Reunions/Assemblies, Engagement/Updates from Digital Platforms</t>
  </si>
  <si>
    <t xml:space="preserve">Government </t>
  </si>
  <si>
    <t>SHS</t>
  </si>
  <si>
    <t xml:space="preserve">FCIHSBATCH79 </t>
  </si>
  <si>
    <t>Engagement/Updates from Digital Platforms</t>
  </si>
  <si>
    <t xml:space="preserve">Excellent </t>
  </si>
  <si>
    <t>2/23/0026</t>
  </si>
  <si>
    <t>Nurse</t>
  </si>
  <si>
    <t>Facilitation of Alumni Reunions/Assemblies, Alumni officer</t>
  </si>
  <si>
    <t>Commendable services</t>
  </si>
  <si>
    <t xml:space="preserve">Administration to provide a more spacious for alumni office </t>
  </si>
  <si>
    <t>CAS</t>
  </si>
  <si>
    <t>Excellent</t>
  </si>
  <si>
    <t>NA</t>
  </si>
  <si>
    <t>High school</t>
  </si>
  <si>
    <t>Very facilitative n friendly</t>
  </si>
  <si>
    <t>Facilitation of Alumni Reunions/Assemblies, Engagement/Updates from Digital Platforms, Inquiry</t>
  </si>
  <si>
    <t>Assistance and response were timely.</t>
  </si>
  <si>
    <t xml:space="preserve">DepEd </t>
  </si>
  <si>
    <t>More power</t>
  </si>
  <si>
    <t>Filamer Shines!</t>
  </si>
  <si>
    <t>very excellent</t>
  </si>
  <si>
    <t xml:space="preserve">more engagement to alumni </t>
  </si>
  <si>
    <t>HS BATCH 77</t>
  </si>
  <si>
    <t xml:space="preserve">Very Satisfied, further improve and enhance the Alumni affairs to get involve other alumnus and other clients. </t>
  </si>
  <si>
    <t xml:space="preserve">Improve the alumni affairs office facilities and provide budgetary personnel to cater the needs of alumni and other clients. </t>
  </si>
  <si>
    <t>On time services and delivered with the heart, it always feels safe, great experience!</t>
  </si>
  <si>
    <t>Just continue the food job</t>
  </si>
  <si>
    <t>Alymni coordinator is very helpful</t>
  </si>
  <si>
    <t>Tracer for Alumni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</si>
</sst>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sz val="11.0"/>
      <color rgb="FFE6E8F0"/>
      <name val="Monospace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D1E26"/>
        <bgColor rgb="FF1D1E26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164" xfId="0" applyFill="1" applyFont="1" applyNumberFormat="1"/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26" displayName="Form_Responses" name="Form_Responses" id="1">
  <tableColumns count="18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Date of Transaction" id="3"/>
    <tableColumn name="Client Type" id="4"/>
    <tableColumn name="Unit/Affiliation" id="5"/>
    <tableColumn name="Sex" id="6"/>
    <tableColumn name="Services Availed: Alumni Affairs" id="7"/>
    <tableColumn name="RESPONSIVENESS_x000a_I spent a reasonable amount of time completing my transaction." id="8"/>
    <tableColumn name="RELIABILITY_x000a_My transaction with the office is consistent with the specified requirements and steps." id="9"/>
    <tableColumn name="ACCESS AND FACILITIES_x000a_My transaction, including steps and payments was simple and convenient. The service was provided in a conducive environment." id="10"/>
    <tableColumn name="COMMUNICATION_x000a_The office promptly and clearly communicated the details of my request." id="11"/>
    <tableColumn name="COSTS_x000a_The fees I paid for my transaction were fair and reasonable." id="12"/>
    <tableColumn name="INTEGRITY_x000a_The office treated me fairly and honestly during my transaction." id="13"/>
    <tableColumn name="ASSURANCE_x000a_I was treated professionally by a knowledgeable and polite staff." id="14"/>
    <tableColumn name="OUTCOME_x000a_I’m satisfied with my overall transaction with the office." id="15"/>
    <tableColumn name="How likely are you to recommend our services to others? " id="16"/>
    <tableColumn name="What can you comment about the services provided by the office? " id="17"/>
    <tableColumn name="What are your suggestions to improve customer experience with this office?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63"/>
    <col customWidth="1" min="4" max="6" width="18.88"/>
    <col customWidth="1" min="7" max="7" width="28.38"/>
    <col customWidth="1" min="8" max="18" width="37.63"/>
    <col customWidth="1" min="19" max="24" width="18.88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ht="22.5" customHeight="1">
      <c r="A2" s="5">
        <v>46002.69410528935</v>
      </c>
      <c r="B2" s="6" t="s">
        <v>18</v>
      </c>
      <c r="C2" s="7">
        <v>45992.0</v>
      </c>
      <c r="D2" s="6" t="s">
        <v>19</v>
      </c>
      <c r="E2" s="6" t="s">
        <v>20</v>
      </c>
      <c r="F2" s="6" t="s">
        <v>21</v>
      </c>
      <c r="G2" s="6" t="s">
        <v>22</v>
      </c>
      <c r="H2" s="6">
        <v>5.0</v>
      </c>
      <c r="I2" s="6">
        <v>5.0</v>
      </c>
      <c r="J2" s="6">
        <v>5.0</v>
      </c>
      <c r="K2" s="6">
        <v>5.0</v>
      </c>
      <c r="L2" s="6">
        <v>5.0</v>
      </c>
      <c r="M2" s="6">
        <v>5.0</v>
      </c>
      <c r="N2" s="6">
        <v>5.0</v>
      </c>
      <c r="O2" s="6">
        <v>5.0</v>
      </c>
      <c r="P2" s="6">
        <v>9.0</v>
      </c>
      <c r="Q2" s="6" t="s">
        <v>23</v>
      </c>
      <c r="R2" s="6" t="s">
        <v>24</v>
      </c>
    </row>
    <row r="3" ht="22.5" customHeight="1">
      <c r="A3" s="5">
        <v>46002.88092125</v>
      </c>
      <c r="B3" s="6" t="s">
        <v>18</v>
      </c>
      <c r="C3" s="7">
        <v>46000.0</v>
      </c>
      <c r="D3" s="6" t="s">
        <v>19</v>
      </c>
      <c r="E3" s="6" t="s">
        <v>25</v>
      </c>
      <c r="F3" s="6" t="s">
        <v>26</v>
      </c>
      <c r="G3" s="6" t="s">
        <v>27</v>
      </c>
      <c r="H3" s="6">
        <v>5.0</v>
      </c>
      <c r="I3" s="6">
        <v>5.0</v>
      </c>
      <c r="J3" s="6">
        <v>5.0</v>
      </c>
      <c r="K3" s="6">
        <v>5.0</v>
      </c>
      <c r="L3" s="8"/>
      <c r="M3" s="6">
        <v>5.0</v>
      </c>
      <c r="N3" s="6">
        <v>5.0</v>
      </c>
      <c r="O3" s="6">
        <v>5.0</v>
      </c>
      <c r="P3" s="6">
        <v>10.0</v>
      </c>
      <c r="Q3" s="6" t="s">
        <v>28</v>
      </c>
      <c r="R3" s="8"/>
    </row>
    <row r="4" ht="22.5" customHeight="1">
      <c r="A4" s="9">
        <v>46052.4078909838</v>
      </c>
      <c r="B4" s="10" t="s">
        <v>18</v>
      </c>
      <c r="C4" s="11">
        <v>46052.0</v>
      </c>
      <c r="D4" s="10" t="s">
        <v>19</v>
      </c>
      <c r="E4" s="10" t="s">
        <v>29</v>
      </c>
      <c r="F4" s="10" t="s">
        <v>26</v>
      </c>
      <c r="G4" s="10" t="s">
        <v>22</v>
      </c>
      <c r="H4" s="10">
        <v>5.0</v>
      </c>
      <c r="I4" s="10">
        <v>5.0</v>
      </c>
      <c r="J4" s="10">
        <v>5.0</v>
      </c>
      <c r="K4" s="10">
        <v>5.0</v>
      </c>
      <c r="L4" s="10">
        <v>5.0</v>
      </c>
      <c r="M4" s="10">
        <v>5.0</v>
      </c>
      <c r="N4" s="10">
        <v>5.0</v>
      </c>
      <c r="O4" s="10">
        <v>5.0</v>
      </c>
      <c r="P4" s="10">
        <v>10.0</v>
      </c>
      <c r="Q4" s="10" t="s">
        <v>30</v>
      </c>
      <c r="R4" s="10" t="s">
        <v>31</v>
      </c>
    </row>
    <row r="5" ht="22.5" customHeight="1">
      <c r="A5" s="9">
        <v>46052.41674997685</v>
      </c>
      <c r="B5" s="10" t="s">
        <v>18</v>
      </c>
      <c r="C5" s="11">
        <v>46052.0</v>
      </c>
      <c r="D5" s="10" t="s">
        <v>32</v>
      </c>
      <c r="E5" s="10" t="s">
        <v>33</v>
      </c>
      <c r="F5" s="10" t="s">
        <v>21</v>
      </c>
      <c r="G5" s="10" t="s">
        <v>34</v>
      </c>
      <c r="H5" s="10">
        <v>5.0</v>
      </c>
      <c r="I5" s="10">
        <v>5.0</v>
      </c>
      <c r="J5" s="10">
        <v>5.0</v>
      </c>
      <c r="K5" s="10">
        <v>5.0</v>
      </c>
      <c r="L5" s="10">
        <v>5.0</v>
      </c>
      <c r="M5" s="10">
        <v>5.0</v>
      </c>
      <c r="N5" s="10">
        <v>5.0</v>
      </c>
      <c r="O5" s="10">
        <v>5.0</v>
      </c>
      <c r="P5" s="10">
        <v>10.0</v>
      </c>
      <c r="Q5" s="10" t="s">
        <v>35</v>
      </c>
      <c r="R5" s="10" t="s">
        <v>36</v>
      </c>
    </row>
    <row r="6" ht="22.5" customHeight="1">
      <c r="A6" s="9">
        <v>46052.467245844906</v>
      </c>
      <c r="B6" s="10" t="s">
        <v>18</v>
      </c>
      <c r="C6" s="11">
        <v>46052.0</v>
      </c>
      <c r="D6" s="10" t="s">
        <v>19</v>
      </c>
      <c r="E6" s="10" t="s">
        <v>37</v>
      </c>
      <c r="F6" s="10" t="s">
        <v>26</v>
      </c>
      <c r="G6" s="10" t="s">
        <v>38</v>
      </c>
      <c r="H6" s="10">
        <v>5.0</v>
      </c>
      <c r="I6" s="10">
        <v>5.0</v>
      </c>
      <c r="J6" s="10">
        <v>5.0</v>
      </c>
      <c r="K6" s="10">
        <v>5.0</v>
      </c>
      <c r="L6" s="10">
        <v>5.0</v>
      </c>
      <c r="M6" s="10">
        <v>5.0</v>
      </c>
      <c r="N6" s="10">
        <v>5.0</v>
      </c>
      <c r="O6" s="10">
        <v>5.0</v>
      </c>
      <c r="P6" s="10">
        <v>10.0</v>
      </c>
      <c r="Q6" s="10" t="s">
        <v>39</v>
      </c>
      <c r="R6" s="10" t="s">
        <v>40</v>
      </c>
    </row>
    <row r="7" ht="22.5" customHeight="1">
      <c r="A7" s="9">
        <v>46052.50938532407</v>
      </c>
      <c r="B7" s="10" t="s">
        <v>18</v>
      </c>
      <c r="C7" s="11">
        <v>46031.0</v>
      </c>
      <c r="D7" s="10" t="s">
        <v>41</v>
      </c>
      <c r="F7" s="10" t="s">
        <v>21</v>
      </c>
      <c r="G7" s="10" t="s">
        <v>34</v>
      </c>
      <c r="H7" s="10">
        <v>5.0</v>
      </c>
      <c r="I7" s="10">
        <v>5.0</v>
      </c>
      <c r="J7" s="10">
        <v>5.0</v>
      </c>
      <c r="K7" s="10">
        <v>5.0</v>
      </c>
      <c r="L7" s="10">
        <v>5.0</v>
      </c>
      <c r="M7" s="10">
        <v>5.0</v>
      </c>
      <c r="N7" s="10">
        <v>5.0</v>
      </c>
      <c r="O7" s="10">
        <v>5.0</v>
      </c>
      <c r="P7" s="10">
        <v>10.0</v>
      </c>
    </row>
    <row r="8" ht="22.5" customHeight="1">
      <c r="A8" s="9">
        <v>46052.71955971065</v>
      </c>
      <c r="B8" s="10" t="s">
        <v>18</v>
      </c>
      <c r="C8" s="11">
        <v>46052.0</v>
      </c>
      <c r="D8" s="10" t="s">
        <v>32</v>
      </c>
      <c r="E8" s="10" t="s">
        <v>42</v>
      </c>
      <c r="F8" s="10" t="s">
        <v>21</v>
      </c>
      <c r="G8" s="10" t="s">
        <v>22</v>
      </c>
      <c r="H8" s="10">
        <v>5.0</v>
      </c>
      <c r="I8" s="10">
        <v>5.0</v>
      </c>
      <c r="J8" s="10">
        <v>5.0</v>
      </c>
      <c r="K8" s="10">
        <v>5.0</v>
      </c>
      <c r="L8" s="10">
        <v>5.0</v>
      </c>
      <c r="M8" s="10">
        <v>5.0</v>
      </c>
      <c r="N8" s="10">
        <v>5.0</v>
      </c>
      <c r="O8" s="10">
        <v>5.0</v>
      </c>
      <c r="P8" s="10">
        <v>10.0</v>
      </c>
      <c r="Q8" s="10" t="s">
        <v>43</v>
      </c>
      <c r="R8" s="10" t="s">
        <v>44</v>
      </c>
    </row>
    <row r="9" ht="22.5" customHeight="1">
      <c r="A9" s="9">
        <v>46052.726815138885</v>
      </c>
      <c r="B9" s="10" t="s">
        <v>18</v>
      </c>
      <c r="C9" s="11">
        <v>46010.0</v>
      </c>
      <c r="D9" s="10" t="s">
        <v>19</v>
      </c>
      <c r="E9" s="10" t="s">
        <v>45</v>
      </c>
      <c r="F9" s="10" t="s">
        <v>26</v>
      </c>
      <c r="G9" s="10" t="s">
        <v>46</v>
      </c>
      <c r="H9" s="10">
        <v>5.0</v>
      </c>
      <c r="I9" s="10">
        <v>5.0</v>
      </c>
      <c r="J9" s="10">
        <v>5.0</v>
      </c>
      <c r="K9" s="10">
        <v>5.0</v>
      </c>
      <c r="L9" s="10">
        <v>5.0</v>
      </c>
      <c r="M9" s="10">
        <v>5.0</v>
      </c>
      <c r="N9" s="10">
        <v>5.0</v>
      </c>
      <c r="O9" s="10">
        <v>5.0</v>
      </c>
      <c r="P9" s="10">
        <v>10.0</v>
      </c>
    </row>
    <row r="10" ht="22.5" customHeight="1">
      <c r="A10" s="9">
        <v>46076.37298817129</v>
      </c>
      <c r="B10" s="10" t="s">
        <v>18</v>
      </c>
      <c r="C10" s="11">
        <v>46076.0</v>
      </c>
      <c r="D10" s="10" t="s">
        <v>19</v>
      </c>
      <c r="E10" s="10" t="s">
        <v>47</v>
      </c>
      <c r="F10" s="10" t="s">
        <v>21</v>
      </c>
      <c r="G10" s="10" t="s">
        <v>46</v>
      </c>
      <c r="H10" s="10">
        <v>4.0</v>
      </c>
      <c r="I10" s="10">
        <v>5.0</v>
      </c>
      <c r="J10" s="10">
        <v>4.0</v>
      </c>
      <c r="K10" s="10">
        <v>4.0</v>
      </c>
      <c r="L10" s="10">
        <v>5.0</v>
      </c>
      <c r="M10" s="10">
        <v>5.0</v>
      </c>
      <c r="N10" s="10">
        <v>5.0</v>
      </c>
      <c r="O10" s="10">
        <v>5.0</v>
      </c>
      <c r="P10" s="10">
        <v>10.0</v>
      </c>
    </row>
    <row r="11" ht="22.5" customHeight="1">
      <c r="A11" s="9">
        <v>46076.40664064814</v>
      </c>
      <c r="B11" s="10" t="s">
        <v>18</v>
      </c>
      <c r="C11" s="11">
        <v>46060.0</v>
      </c>
      <c r="D11" s="10" t="s">
        <v>19</v>
      </c>
      <c r="F11" s="10" t="s">
        <v>21</v>
      </c>
      <c r="G11" s="10" t="s">
        <v>22</v>
      </c>
      <c r="H11" s="10">
        <v>5.0</v>
      </c>
      <c r="I11" s="10">
        <v>5.0</v>
      </c>
      <c r="J11" s="10">
        <v>5.0</v>
      </c>
      <c r="K11" s="10">
        <v>5.0</v>
      </c>
      <c r="L11" s="10">
        <v>5.0</v>
      </c>
      <c r="M11" s="10">
        <v>5.0</v>
      </c>
      <c r="N11" s="10">
        <v>5.0</v>
      </c>
      <c r="O11" s="10">
        <v>5.0</v>
      </c>
      <c r="P11" s="10">
        <v>10.0</v>
      </c>
    </row>
    <row r="12" ht="22.5" customHeight="1">
      <c r="A12" s="9">
        <v>46076.42873917824</v>
      </c>
      <c r="B12" s="10" t="s">
        <v>18</v>
      </c>
      <c r="C12" s="11">
        <v>46071.0</v>
      </c>
      <c r="D12" s="10" t="s">
        <v>32</v>
      </c>
      <c r="E12" s="10" t="s">
        <v>48</v>
      </c>
      <c r="F12" s="10" t="s">
        <v>21</v>
      </c>
      <c r="G12" s="10" t="s">
        <v>22</v>
      </c>
      <c r="P12" s="10">
        <v>10.0</v>
      </c>
    </row>
    <row r="13" ht="22.5" customHeight="1">
      <c r="A13" s="9">
        <v>46076.74363453704</v>
      </c>
      <c r="B13" s="10" t="s">
        <v>18</v>
      </c>
      <c r="C13" s="11">
        <v>46076.0</v>
      </c>
      <c r="D13" s="10" t="s">
        <v>19</v>
      </c>
      <c r="E13" s="10" t="s">
        <v>49</v>
      </c>
      <c r="F13" s="10" t="s">
        <v>21</v>
      </c>
      <c r="G13" s="10" t="s">
        <v>50</v>
      </c>
      <c r="H13" s="10">
        <v>5.0</v>
      </c>
      <c r="I13" s="10">
        <v>5.0</v>
      </c>
      <c r="J13" s="10">
        <v>5.0</v>
      </c>
      <c r="K13" s="10">
        <v>5.0</v>
      </c>
      <c r="L13" s="10">
        <v>5.0</v>
      </c>
      <c r="M13" s="10">
        <v>5.0</v>
      </c>
      <c r="N13" s="10">
        <v>5.0</v>
      </c>
      <c r="O13" s="10">
        <v>5.0</v>
      </c>
      <c r="P13" s="10">
        <v>10.0</v>
      </c>
      <c r="Q13" s="10" t="s">
        <v>51</v>
      </c>
    </row>
    <row r="14" ht="22.5" customHeight="1">
      <c r="A14" s="9">
        <v>46076.79136614583</v>
      </c>
      <c r="B14" s="10" t="s">
        <v>18</v>
      </c>
      <c r="C14" s="11" t="s">
        <v>52</v>
      </c>
      <c r="D14" s="10" t="s">
        <v>32</v>
      </c>
      <c r="E14" s="10" t="s">
        <v>53</v>
      </c>
      <c r="F14" s="10" t="s">
        <v>21</v>
      </c>
      <c r="G14" s="10" t="s">
        <v>54</v>
      </c>
      <c r="H14" s="10">
        <v>4.0</v>
      </c>
      <c r="I14" s="10">
        <v>5.0</v>
      </c>
      <c r="J14" s="10">
        <v>4.0</v>
      </c>
      <c r="K14" s="10">
        <v>5.0</v>
      </c>
      <c r="L14" s="10">
        <v>5.0</v>
      </c>
      <c r="M14" s="10">
        <v>5.0</v>
      </c>
      <c r="N14" s="10">
        <v>5.0</v>
      </c>
      <c r="O14" s="10">
        <v>5.0</v>
      </c>
      <c r="P14" s="10">
        <v>9.0</v>
      </c>
      <c r="Q14" s="10" t="s">
        <v>55</v>
      </c>
      <c r="R14" s="10" t="s">
        <v>56</v>
      </c>
    </row>
    <row r="15" ht="22.5" customHeight="1">
      <c r="A15" s="9">
        <v>46076.810150335645</v>
      </c>
      <c r="B15" s="10" t="s">
        <v>18</v>
      </c>
      <c r="C15" s="11">
        <v>46076.0</v>
      </c>
      <c r="D15" s="10" t="s">
        <v>19</v>
      </c>
      <c r="E15" s="10" t="s">
        <v>57</v>
      </c>
      <c r="F15" s="10" t="s">
        <v>26</v>
      </c>
      <c r="G15" s="10" t="s">
        <v>50</v>
      </c>
      <c r="J15" s="10">
        <v>5.0</v>
      </c>
      <c r="K15" s="10">
        <v>5.0</v>
      </c>
      <c r="L15" s="10">
        <v>5.0</v>
      </c>
      <c r="M15" s="10">
        <v>5.0</v>
      </c>
      <c r="N15" s="10">
        <v>5.0</v>
      </c>
      <c r="O15" s="10">
        <v>5.0</v>
      </c>
      <c r="P15" s="10">
        <v>10.0</v>
      </c>
      <c r="Q15" s="10" t="s">
        <v>58</v>
      </c>
      <c r="R15" s="10" t="s">
        <v>59</v>
      </c>
    </row>
    <row r="16" ht="22.5" customHeight="1">
      <c r="A16" s="9">
        <v>46076.841137118055</v>
      </c>
      <c r="B16" s="10" t="s">
        <v>18</v>
      </c>
      <c r="C16" s="11">
        <v>46076.0</v>
      </c>
      <c r="D16" s="10" t="s">
        <v>19</v>
      </c>
      <c r="E16" s="10" t="s">
        <v>60</v>
      </c>
      <c r="F16" s="10" t="s">
        <v>26</v>
      </c>
      <c r="G16" s="10" t="s">
        <v>22</v>
      </c>
      <c r="H16" s="10">
        <v>5.0</v>
      </c>
      <c r="I16" s="10">
        <v>5.0</v>
      </c>
      <c r="J16" s="10">
        <v>5.0</v>
      </c>
      <c r="K16" s="10">
        <v>5.0</v>
      </c>
      <c r="L16" s="10">
        <v>5.0</v>
      </c>
      <c r="M16" s="10">
        <v>5.0</v>
      </c>
      <c r="N16" s="10">
        <v>5.0</v>
      </c>
      <c r="O16" s="10">
        <v>5.0</v>
      </c>
      <c r="P16" s="10">
        <v>10.0</v>
      </c>
      <c r="Q16" s="10" t="s">
        <v>61</v>
      </c>
    </row>
    <row r="17" ht="22.5" customHeight="1">
      <c r="A17" s="9">
        <v>46077.3514315625</v>
      </c>
      <c r="B17" s="10" t="s">
        <v>18</v>
      </c>
      <c r="C17" s="11">
        <v>46077.0</v>
      </c>
      <c r="D17" s="10" t="s">
        <v>19</v>
      </c>
      <c r="F17" s="10" t="s">
        <v>21</v>
      </c>
      <c r="G17" s="10" t="s">
        <v>50</v>
      </c>
      <c r="H17" s="10">
        <v>5.0</v>
      </c>
      <c r="I17" s="10">
        <v>4.0</v>
      </c>
      <c r="J17" s="10">
        <v>4.0</v>
      </c>
      <c r="K17" s="10">
        <v>5.0</v>
      </c>
      <c r="L17" s="10">
        <v>3.0</v>
      </c>
      <c r="M17" s="10">
        <v>5.0</v>
      </c>
      <c r="N17" s="10">
        <v>5.0</v>
      </c>
      <c r="O17" s="10">
        <v>4.0</v>
      </c>
      <c r="P17" s="10">
        <v>9.0</v>
      </c>
    </row>
    <row r="18" ht="22.5" customHeight="1">
      <c r="A18" s="9">
        <v>46077.367245381945</v>
      </c>
      <c r="B18" s="10" t="s">
        <v>18</v>
      </c>
      <c r="C18" s="11">
        <v>46077.0</v>
      </c>
      <c r="D18" s="10" t="s">
        <v>19</v>
      </c>
      <c r="E18" s="10" t="s">
        <v>57</v>
      </c>
      <c r="F18" s="10" t="s">
        <v>21</v>
      </c>
      <c r="G18" s="10" t="s">
        <v>62</v>
      </c>
      <c r="H18" s="10">
        <v>5.0</v>
      </c>
      <c r="I18" s="10">
        <v>5.0</v>
      </c>
      <c r="J18" s="10">
        <v>5.0</v>
      </c>
      <c r="K18" s="10">
        <v>5.0</v>
      </c>
      <c r="L18" s="10">
        <v>5.0</v>
      </c>
      <c r="M18" s="10">
        <v>5.0</v>
      </c>
      <c r="N18" s="10">
        <v>5.0</v>
      </c>
      <c r="O18" s="10">
        <v>5.0</v>
      </c>
      <c r="P18" s="10">
        <v>10.0</v>
      </c>
      <c r="Q18" s="10" t="s">
        <v>63</v>
      </c>
    </row>
    <row r="19" ht="22.5" customHeight="1">
      <c r="A19" s="9">
        <v>46079.77715071759</v>
      </c>
      <c r="B19" s="10" t="s">
        <v>18</v>
      </c>
      <c r="C19" s="11">
        <v>46079.0</v>
      </c>
      <c r="D19" s="10" t="s">
        <v>32</v>
      </c>
      <c r="F19" s="10" t="s">
        <v>21</v>
      </c>
      <c r="G19" s="10" t="s">
        <v>50</v>
      </c>
      <c r="H19" s="10">
        <v>5.0</v>
      </c>
      <c r="I19" s="10">
        <v>5.0</v>
      </c>
      <c r="J19" s="10">
        <v>5.0</v>
      </c>
      <c r="K19" s="10">
        <v>5.0</v>
      </c>
      <c r="L19" s="10">
        <v>5.0</v>
      </c>
      <c r="M19" s="10">
        <v>5.0</v>
      </c>
      <c r="N19" s="10">
        <v>5.0</v>
      </c>
      <c r="O19" s="10">
        <v>5.0</v>
      </c>
      <c r="P19" s="10">
        <v>10.0</v>
      </c>
    </row>
    <row r="20" ht="22.5" customHeight="1">
      <c r="A20" s="9">
        <v>46081.27637378473</v>
      </c>
      <c r="B20" s="10" t="s">
        <v>18</v>
      </c>
      <c r="C20" s="11">
        <v>46081.0</v>
      </c>
      <c r="D20" s="10" t="s">
        <v>19</v>
      </c>
      <c r="F20" s="10" t="s">
        <v>21</v>
      </c>
      <c r="G20" s="10" t="s">
        <v>50</v>
      </c>
      <c r="H20" s="10">
        <v>5.0</v>
      </c>
      <c r="I20" s="10">
        <v>5.0</v>
      </c>
      <c r="J20" s="10">
        <v>5.0</v>
      </c>
      <c r="K20" s="10">
        <v>5.0</v>
      </c>
      <c r="L20" s="10">
        <v>5.0</v>
      </c>
      <c r="M20" s="10">
        <v>5.0</v>
      </c>
      <c r="N20" s="10">
        <v>5.0</v>
      </c>
      <c r="O20" s="10">
        <v>5.0</v>
      </c>
      <c r="P20" s="10">
        <v>10.0</v>
      </c>
    </row>
    <row r="21" ht="22.5" customHeight="1">
      <c r="A21" s="9">
        <v>46301.74772827546</v>
      </c>
      <c r="B21" s="10" t="s">
        <v>18</v>
      </c>
      <c r="C21" s="11">
        <v>46301.0</v>
      </c>
      <c r="D21" s="10" t="s">
        <v>19</v>
      </c>
      <c r="E21" s="10" t="s">
        <v>64</v>
      </c>
      <c r="F21" s="10" t="s">
        <v>26</v>
      </c>
      <c r="G21" s="10" t="s">
        <v>38</v>
      </c>
      <c r="H21" s="10">
        <v>5.0</v>
      </c>
      <c r="I21" s="10">
        <v>5.0</v>
      </c>
      <c r="J21" s="10">
        <v>5.0</v>
      </c>
      <c r="K21" s="10">
        <v>5.0</v>
      </c>
      <c r="L21" s="10">
        <v>5.0</v>
      </c>
      <c r="M21" s="10">
        <v>5.0</v>
      </c>
      <c r="N21" s="10">
        <v>5.0</v>
      </c>
      <c r="O21" s="10">
        <v>5.0</v>
      </c>
      <c r="P21" s="10">
        <v>10.0</v>
      </c>
      <c r="Q21" s="10" t="s">
        <v>65</v>
      </c>
      <c r="R21" s="10" t="s">
        <v>66</v>
      </c>
    </row>
    <row r="22" ht="22.5" customHeight="1">
      <c r="A22" s="9">
        <v>46301.75893589121</v>
      </c>
      <c r="B22" s="10" t="s">
        <v>18</v>
      </c>
      <c r="C22" s="11">
        <v>45936.0</v>
      </c>
      <c r="D22" s="10" t="s">
        <v>19</v>
      </c>
      <c r="E22" s="10" t="s">
        <v>25</v>
      </c>
      <c r="F22" s="10" t="s">
        <v>26</v>
      </c>
      <c r="G22" s="10" t="s">
        <v>22</v>
      </c>
      <c r="H22" s="10">
        <v>5.0</v>
      </c>
      <c r="I22" s="10">
        <v>5.0</v>
      </c>
      <c r="J22" s="10">
        <v>5.0</v>
      </c>
      <c r="K22" s="10">
        <v>5.0</v>
      </c>
      <c r="L22" s="10">
        <v>5.0</v>
      </c>
      <c r="M22" s="10">
        <v>5.0</v>
      </c>
      <c r="N22" s="10">
        <v>5.0</v>
      </c>
      <c r="O22" s="10">
        <v>5.0</v>
      </c>
      <c r="P22" s="10">
        <v>10.0</v>
      </c>
    </row>
    <row r="23" ht="22.5" customHeight="1">
      <c r="A23" s="9">
        <v>46301.75998189815</v>
      </c>
      <c r="B23" s="10" t="s">
        <v>18</v>
      </c>
      <c r="C23" s="11">
        <v>46297.0</v>
      </c>
      <c r="D23" s="10" t="s">
        <v>19</v>
      </c>
      <c r="E23" s="10" t="s">
        <v>19</v>
      </c>
      <c r="F23" s="10" t="s">
        <v>26</v>
      </c>
      <c r="G23" s="10" t="s">
        <v>22</v>
      </c>
      <c r="H23" s="10">
        <v>5.0</v>
      </c>
      <c r="I23" s="10">
        <v>5.0</v>
      </c>
      <c r="J23" s="10">
        <v>5.0</v>
      </c>
      <c r="K23" s="10">
        <v>5.0</v>
      </c>
      <c r="L23" s="10">
        <v>5.0</v>
      </c>
      <c r="M23" s="10">
        <v>5.0</v>
      </c>
      <c r="N23" s="10">
        <v>5.0</v>
      </c>
      <c r="O23" s="10">
        <v>5.0</v>
      </c>
      <c r="P23" s="10">
        <v>10.0</v>
      </c>
      <c r="Q23" s="10" t="s">
        <v>67</v>
      </c>
      <c r="R23" s="10" t="s">
        <v>68</v>
      </c>
    </row>
    <row r="24" ht="22.5" customHeight="1">
      <c r="A24" s="9">
        <v>46301.761197245374</v>
      </c>
      <c r="B24" s="10" t="s">
        <v>18</v>
      </c>
      <c r="C24" s="11">
        <v>46301.0</v>
      </c>
      <c r="D24" s="10" t="s">
        <v>19</v>
      </c>
      <c r="E24" s="10" t="s">
        <v>69</v>
      </c>
      <c r="F24" s="10" t="s">
        <v>26</v>
      </c>
      <c r="G24" s="10" t="s">
        <v>38</v>
      </c>
      <c r="H24" s="10">
        <v>5.0</v>
      </c>
      <c r="I24" s="10">
        <v>5.0</v>
      </c>
      <c r="J24" s="10">
        <v>5.0</v>
      </c>
      <c r="K24" s="10">
        <v>5.0</v>
      </c>
      <c r="L24" s="10">
        <v>1.0</v>
      </c>
      <c r="M24" s="10">
        <v>5.0</v>
      </c>
      <c r="N24" s="10">
        <v>5.0</v>
      </c>
      <c r="O24" s="10">
        <v>5.0</v>
      </c>
      <c r="P24" s="10">
        <v>9.0</v>
      </c>
      <c r="Q24" s="10" t="s">
        <v>70</v>
      </c>
      <c r="R24" s="10" t="s">
        <v>71</v>
      </c>
    </row>
    <row r="25" ht="22.5" customHeight="1">
      <c r="A25" s="9">
        <v>46302.18633701389</v>
      </c>
      <c r="B25" s="10" t="s">
        <v>18</v>
      </c>
      <c r="C25" s="11">
        <v>46302.0</v>
      </c>
      <c r="D25" s="10" t="s">
        <v>19</v>
      </c>
      <c r="E25" s="10" t="s">
        <v>25</v>
      </c>
      <c r="F25" s="10" t="s">
        <v>26</v>
      </c>
      <c r="G25" s="10" t="s">
        <v>22</v>
      </c>
      <c r="H25" s="10">
        <v>5.0</v>
      </c>
      <c r="I25" s="10">
        <v>5.0</v>
      </c>
      <c r="J25" s="10">
        <v>5.0</v>
      </c>
      <c r="K25" s="10">
        <v>5.0</v>
      </c>
      <c r="L25" s="10">
        <v>5.0</v>
      </c>
      <c r="M25" s="10">
        <v>5.0</v>
      </c>
      <c r="N25" s="10">
        <v>5.0</v>
      </c>
      <c r="O25" s="10">
        <v>5.0</v>
      </c>
      <c r="P25" s="10">
        <v>10.0</v>
      </c>
      <c r="Q25" s="10" t="s">
        <v>72</v>
      </c>
      <c r="R25" s="10" t="s">
        <v>73</v>
      </c>
    </row>
    <row r="26" ht="22.5" customHeight="1">
      <c r="A26" s="9">
        <v>46302.218536354165</v>
      </c>
      <c r="B26" s="10" t="s">
        <v>18</v>
      </c>
      <c r="C26" s="11">
        <v>46294.0</v>
      </c>
      <c r="D26" s="10" t="s">
        <v>19</v>
      </c>
      <c r="F26" s="10" t="s">
        <v>21</v>
      </c>
      <c r="G26" s="10" t="s">
        <v>22</v>
      </c>
      <c r="H26" s="10">
        <v>5.0</v>
      </c>
      <c r="I26" s="10">
        <v>5.0</v>
      </c>
      <c r="J26" s="10">
        <v>5.0</v>
      </c>
      <c r="K26" s="10">
        <v>5.0</v>
      </c>
      <c r="L26" s="10">
        <v>5.0</v>
      </c>
      <c r="M26" s="10">
        <v>5.0</v>
      </c>
      <c r="N26" s="10">
        <v>5.0</v>
      </c>
      <c r="O26" s="10">
        <v>5.0</v>
      </c>
      <c r="P26" s="10">
        <v>10.0</v>
      </c>
      <c r="Q26" s="10" t="s">
        <v>74</v>
      </c>
      <c r="R26" s="10" t="s">
        <v>75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IFERROR(__xludf.DUMMYFUNCTION("FILTER({'Form Responses 1'!A2:A117, 'Form Responses 1'!Q2:Q117, 'Form Responses 1'!R2:R117}, ('Form Responses 1'!Q2:Q117 &lt;&gt; """") + ('Form Responses 1'!R2:R117 &lt;&gt; """"))"),46002.69410528935)</f>
        <v>46002.69411</v>
      </c>
      <c r="B1" s="2" t="str">
        <f>IFERROR(__xludf.DUMMYFUNCTION("""COMPUTED_VALUE"""),"Promptly attended my concern")</f>
        <v>Promptly attended my concern</v>
      </c>
      <c r="C1" s="2" t="str">
        <f>IFERROR(__xludf.DUMMYFUNCTION("""COMPUTED_VALUE"""),"Prompt action to concerns")</f>
        <v>Prompt action to concerns</v>
      </c>
    </row>
    <row r="2">
      <c r="A2" s="3">
        <f>IFERROR(__xludf.DUMMYFUNCTION("""COMPUTED_VALUE"""),46002.88092125)</f>
        <v>46002.88092</v>
      </c>
      <c r="B2" s="2" t="str">
        <f>IFERROR(__xludf.DUMMYFUNCTION("""COMPUTED_VALUE"""),"Effective and efficient services and friendly personnel")</f>
        <v>Effective and efficient services and friendly personnel</v>
      </c>
      <c r="C2" s="2"/>
    </row>
    <row r="3">
      <c r="A3" s="3">
        <f>IFERROR(__xludf.DUMMYFUNCTION("""COMPUTED_VALUE"""),46052.4078909838)</f>
        <v>46052.40789</v>
      </c>
      <c r="B3" s="2" t="str">
        <f>IFERROR(__xludf.DUMMYFUNCTION("""COMPUTED_VALUE"""),"It was a very professional and reliable.")</f>
        <v>It was a very professional and reliable.</v>
      </c>
      <c r="C3" s="2" t="str">
        <f>IFERROR(__xludf.DUMMYFUNCTION("""COMPUTED_VALUE"""),"Be consistent everyday whoever and whatever your client especially the alumni needs.")</f>
        <v>Be consistent everyday whoever and whatever your client especially the alumni needs.</v>
      </c>
    </row>
    <row r="4">
      <c r="A4" s="3">
        <f>IFERROR(__xludf.DUMMYFUNCTION("""COMPUTED_VALUE"""),46052.41674997685)</f>
        <v>46052.41675</v>
      </c>
      <c r="B4" s="2" t="str">
        <f>IFERROR(__xludf.DUMMYFUNCTION("""COMPUTED_VALUE"""),"Very good")</f>
        <v>Very good</v>
      </c>
      <c r="C4" s="2" t="str">
        <f>IFERROR(__xludf.DUMMYFUNCTION("""COMPUTED_VALUE"""),"None")</f>
        <v>None</v>
      </c>
    </row>
    <row r="5">
      <c r="A5" s="3">
        <f>IFERROR(__xludf.DUMMYFUNCTION("""COMPUTED_VALUE"""),46052.467245844906)</f>
        <v>46052.46725</v>
      </c>
      <c r="B5" s="2" t="str">
        <f>IFERROR(__xludf.DUMMYFUNCTION("""COMPUTED_VALUE"""),"All are excellent")</f>
        <v>All are excellent</v>
      </c>
      <c r="C5" s="2" t="str">
        <f>IFERROR(__xludf.DUMMYFUNCTION("""COMPUTED_VALUE"""),"None - All is good already")</f>
        <v>None - All is good already</v>
      </c>
    </row>
    <row r="6">
      <c r="A6" s="3">
        <f>IFERROR(__xludf.DUMMYFUNCTION("""COMPUTED_VALUE"""),46052.71955971065)</f>
        <v>46052.71956</v>
      </c>
      <c r="B6" s="2" t="str">
        <f>IFERROR(__xludf.DUMMYFUNCTION("""COMPUTED_VALUE"""),"Good job")</f>
        <v>Good job</v>
      </c>
      <c r="C6" s="2" t="str">
        <f>IFERROR(__xludf.DUMMYFUNCTION("""COMPUTED_VALUE"""),"N/a")</f>
        <v>N/a</v>
      </c>
    </row>
    <row r="7">
      <c r="A7" s="3">
        <f>IFERROR(__xludf.DUMMYFUNCTION("""COMPUTED_VALUE"""),46076.74363453704)</f>
        <v>46076.74363</v>
      </c>
      <c r="B7" s="2" t="str">
        <f>IFERROR(__xludf.DUMMYFUNCTION("""COMPUTED_VALUE"""),"Excellent ")</f>
        <v>Excellent </v>
      </c>
      <c r="C7" s="2"/>
    </row>
    <row r="8">
      <c r="A8" s="3">
        <f>IFERROR(__xludf.DUMMYFUNCTION("""COMPUTED_VALUE"""),46076.79136614583)</f>
        <v>46076.79137</v>
      </c>
      <c r="B8" s="2" t="str">
        <f>IFERROR(__xludf.DUMMYFUNCTION("""COMPUTED_VALUE"""),"Commendable services")</f>
        <v>Commendable services</v>
      </c>
      <c r="C8" s="2" t="str">
        <f>IFERROR(__xludf.DUMMYFUNCTION("""COMPUTED_VALUE"""),"Administration to provide a more spacious for alumni office ")</f>
        <v>Administration to provide a more spacious for alumni office </v>
      </c>
    </row>
    <row r="9">
      <c r="A9" s="3">
        <f>IFERROR(__xludf.DUMMYFUNCTION("""COMPUTED_VALUE"""),46076.810150335645)</f>
        <v>46076.81015</v>
      </c>
      <c r="B9" s="2" t="str">
        <f>IFERROR(__xludf.DUMMYFUNCTION("""COMPUTED_VALUE"""),"Excellent")</f>
        <v>Excellent</v>
      </c>
      <c r="C9" s="2" t="str">
        <f>IFERROR(__xludf.DUMMYFUNCTION("""COMPUTED_VALUE"""),"NA")</f>
        <v>NA</v>
      </c>
    </row>
    <row r="10">
      <c r="A10" s="3">
        <f>IFERROR(__xludf.DUMMYFUNCTION("""COMPUTED_VALUE"""),46076.841137118055)</f>
        <v>46076.84114</v>
      </c>
      <c r="B10" s="2" t="str">
        <f>IFERROR(__xludf.DUMMYFUNCTION("""COMPUTED_VALUE"""),"Very facilitative n friendly")</f>
        <v>Very facilitative n friendly</v>
      </c>
      <c r="C10" s="2"/>
    </row>
    <row r="11">
      <c r="A11" s="3">
        <f>IFERROR(__xludf.DUMMYFUNCTION("""COMPUTED_VALUE"""),46077.367245381945)</f>
        <v>46077.36725</v>
      </c>
      <c r="B11" s="2" t="str">
        <f>IFERROR(__xludf.DUMMYFUNCTION("""COMPUTED_VALUE"""),"Assistance and response were timely.")</f>
        <v>Assistance and response were timely.</v>
      </c>
      <c r="C11" s="2"/>
    </row>
    <row r="12">
      <c r="A12" s="3">
        <f>IFERROR(__xludf.DUMMYFUNCTION("""COMPUTED_VALUE"""),46301.74772827546)</f>
        <v>46301.74773</v>
      </c>
      <c r="B12" s="2" t="str">
        <f>IFERROR(__xludf.DUMMYFUNCTION("""COMPUTED_VALUE"""),"More power")</f>
        <v>More power</v>
      </c>
      <c r="C12" s="2" t="str">
        <f>IFERROR(__xludf.DUMMYFUNCTION("""COMPUTED_VALUE"""),"Filamer Shines!")</f>
        <v>Filamer Shines!</v>
      </c>
    </row>
    <row r="13">
      <c r="A13" s="3">
        <f>IFERROR(__xludf.DUMMYFUNCTION("""COMPUTED_VALUE"""),46301.75998189815)</f>
        <v>46301.75998</v>
      </c>
      <c r="B13" s="2" t="str">
        <f>IFERROR(__xludf.DUMMYFUNCTION("""COMPUTED_VALUE"""),"very excellent")</f>
        <v>very excellent</v>
      </c>
      <c r="C13" s="2" t="str">
        <f>IFERROR(__xludf.DUMMYFUNCTION("""COMPUTED_VALUE"""),"more engagement to alumni ")</f>
        <v>more engagement to alumni </v>
      </c>
    </row>
    <row r="14">
      <c r="A14" s="3">
        <f>IFERROR(__xludf.DUMMYFUNCTION("""COMPUTED_VALUE"""),46301.761197245374)</f>
        <v>46301.7612</v>
      </c>
      <c r="B14" s="2" t="str">
        <f>IFERROR(__xludf.DUMMYFUNCTION("""COMPUTED_VALUE"""),"Very Satisfied, further improve and enhance the Alumni affairs to get involve other alumnus and other clients. ")</f>
        <v>Very Satisfied, further improve and enhance the Alumni affairs to get involve other alumnus and other clients. </v>
      </c>
      <c r="C14" s="2" t="str">
        <f>IFERROR(__xludf.DUMMYFUNCTION("""COMPUTED_VALUE"""),"Improve the alumni affairs office facilities and provide budgetary personnel to cater the needs of alumni and other clients. ")</f>
        <v>Improve the alumni affairs office facilities and provide budgetary personnel to cater the needs of alumni and other clients. </v>
      </c>
    </row>
    <row r="15">
      <c r="A15" s="3">
        <f>IFERROR(__xludf.DUMMYFUNCTION("""COMPUTED_VALUE"""),46302.18633701389)</f>
        <v>46302.18634</v>
      </c>
      <c r="B15" s="2" t="str">
        <f>IFERROR(__xludf.DUMMYFUNCTION("""COMPUTED_VALUE"""),"On time services and delivered with the heart, it always feels safe, great experience!")</f>
        <v>On time services and delivered with the heart, it always feels safe, great experience!</v>
      </c>
      <c r="C15" s="2" t="str">
        <f>IFERROR(__xludf.DUMMYFUNCTION("""COMPUTED_VALUE"""),"Just continue the food job")</f>
        <v>Just continue the food job</v>
      </c>
    </row>
    <row r="16">
      <c r="A16" s="3">
        <f>IFERROR(__xludf.DUMMYFUNCTION("""COMPUTED_VALUE"""),46302.218536354165)</f>
        <v>46302.21854</v>
      </c>
      <c r="B16" s="2" t="str">
        <f>IFERROR(__xludf.DUMMYFUNCTION("""COMPUTED_VALUE"""),"Alymni coordinator is very helpful")</f>
        <v>Alymni coordinator is very helpful</v>
      </c>
      <c r="C16" s="2" t="str">
        <f>IFERROR(__xludf.DUMMYFUNCTION("""COMPUTED_VALUE"""),"Tracer for Alumni")</f>
        <v>Tracer for Alumni</v>
      </c>
    </row>
  </sheetData>
  <drawing r:id="rId1"/>
</worksheet>
</file>