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<sst xmlns="http://schemas.openxmlformats.org/spreadsheetml/2006/main" count="796" uniqueCount="141">
  <si>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</si>
  <si>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</si>
  <si>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</si>
  <si>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</si>
  <si>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</si>
  <si>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</si>
  <si>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 xml:space="preserve">Services Availed: LABORATORY HIGHER EDUCATION </t>
  </si>
  <si>
    <r>
      <rPr>
        <rFont val="Arial"/>
        <b/>
        <i/>
        <color theme="1"/>
      </rPr>
      <t>RESPONSIVENESS</t>
    </r>
    <r>
      <rPr>
        <rFont val="Arial"/>
        <color theme="1"/>
      </rPr>
      <t xml:space="preserve">
I spent a reasonable amount of time completing my transaction.</t>
    </r>
  </si>
  <si>
    <r>
      <rPr>
        <rFont val="Arial"/>
        <b/>
        <color theme="1"/>
      </rPr>
      <t>RELIABILITY</t>
    </r>
    <r>
      <rPr>
        <rFont val="Arial"/>
        <color theme="1"/>
      </rPr>
      <t xml:space="preserve">
My transaction with the office is consistent with the specified requirements and steps.</t>
    </r>
  </si>
  <si>
    <r>
      <rPr>
        <rFont val="Arial"/>
        <b/>
        <color theme="1"/>
      </rPr>
      <t>ACCESS AND FACILITIES</t>
    </r>
    <r>
      <rPr>
        <rFont val="Arial"/>
        <color theme="1"/>
      </rPr>
      <t xml:space="preserve">
My transaction, including steps and payments was simple and convenient. The service was provided in a conducive environment.</t>
    </r>
  </si>
  <si>
    <r>
      <rPr>
        <rFont val="Arial"/>
        <b/>
        <color theme="1"/>
      </rPr>
      <t>COMMUNICATION</t>
    </r>
    <r>
      <rPr>
        <rFont val="Arial"/>
        <color theme="1"/>
      </rPr>
      <t xml:space="preserve">
The office promptly and clearly communicated the details of my request.</t>
    </r>
  </si>
  <si>
    <r>
      <rPr>
        <rFont val="Arial"/>
        <b/>
        <color theme="1"/>
      </rPr>
      <t>COSTS</t>
    </r>
    <r>
      <rPr>
        <rFont val="Arial"/>
        <color theme="1"/>
      </rPr>
      <t xml:space="preserve">
The fees I paid for my transaction were fair and reasonable.</t>
    </r>
  </si>
  <si>
    <r>
      <rPr>
        <rFont val="Arial"/>
        <b/>
        <color theme="1"/>
      </rPr>
      <t>INTEGRITY</t>
    </r>
    <r>
      <rPr>
        <rFont val="Arial"/>
        <color theme="1"/>
      </rPr>
      <t xml:space="preserve">
The office treated me fairly and honestly during my transaction.</t>
    </r>
  </si>
  <si>
    <r>
      <rPr>
        <rFont val="Arial"/>
        <b/>
        <color theme="1"/>
      </rPr>
      <t>ASSURANCE</t>
    </r>
    <r>
      <rPr>
        <rFont val="Arial"/>
        <color theme="1"/>
      </rPr>
      <t xml:space="preserve">
I was treated professionally by a knowledgeable and polite staff.</t>
    </r>
  </si>
  <si>
    <r>
      <rPr>
        <rFont val="Arial"/>
        <b/>
        <color theme="1"/>
      </rPr>
      <t>OUTCOME</t>
    </r>
    <r>
      <rPr>
        <rFont val="Arial"/>
        <color theme="1"/>
      </rPr>
      <t xml:space="preserve">
I’m satisfied with my overall transaction with the office.</t>
    </r>
  </si>
  <si>
    <t xml:space="preserve">How likely are you to recommend our services to others? </t>
  </si>
  <si>
    <t xml:space="preserve">What can you comment about the services provided by the office? </t>
  </si>
  <si>
    <t xml:space="preserve">What are your suggestions to improve customer experience with this office? </t>
  </si>
  <si>
    <t>I AGREE</t>
  </si>
  <si>
    <t>Student</t>
  </si>
  <si>
    <t>CN</t>
  </si>
  <si>
    <t>Male</t>
  </si>
  <si>
    <t>Lecture</t>
  </si>
  <si>
    <t>I can say that they do what they can when helping</t>
  </si>
  <si>
    <t>there is no need</t>
  </si>
  <si>
    <t>Female</t>
  </si>
  <si>
    <t>Experiments</t>
  </si>
  <si>
    <t>It’s good</t>
  </si>
  <si>
    <t>Needs more materials</t>
  </si>
  <si>
    <t>BSN</t>
  </si>
  <si>
    <t>Experiments, Lecture</t>
  </si>
  <si>
    <t>BSN 1</t>
  </si>
  <si>
    <t>Everyone was kind and approachable</t>
  </si>
  <si>
    <t xml:space="preserve">To be more welcoming or accompany students when they enter the office, to be asked What they are there for would lessen the nervousness students feel when entering the CN Office, so that students would see how nice and approachable people are inside the office. </t>
  </si>
  <si>
    <t>11/24/0025</t>
  </si>
  <si>
    <t>1 C</t>
  </si>
  <si>
    <t>GOOD</t>
  </si>
  <si>
    <t>No</t>
  </si>
  <si>
    <t xml:space="preserve">BSN </t>
  </si>
  <si>
    <t>It was good enough for me to understand their services.</t>
  </si>
  <si>
    <t>In this time of sudden suspensions, mixed schedules, I hope they can provide promissory note (with due of payment).</t>
  </si>
  <si>
    <t>.</t>
  </si>
  <si>
    <t>The services that they provide is good</t>
  </si>
  <si>
    <t>My suggestion to improve the customer experience is to give a clear instructions to the student so that they will understand the process that they need to do.</t>
  </si>
  <si>
    <t xml:space="preserve">The service provided was excellent </t>
  </si>
  <si>
    <t xml:space="preserve">None
</t>
  </si>
  <si>
    <t>Bachelor of science in nursing</t>
  </si>
  <si>
    <t>None</t>
  </si>
  <si>
    <t>Prefer not to say</t>
  </si>
  <si>
    <t>N/A</t>
  </si>
  <si>
    <t>anaphy</t>
  </si>
  <si>
    <t>ACTIVITY FROG DISSECTION</t>
  </si>
  <si>
    <t>Nursing</t>
  </si>
  <si>
    <t>It’s okay but sometimes it takes a lot of time for a transaction</t>
  </si>
  <si>
    <t>1/13/0026</t>
  </si>
  <si>
    <t>NURSING</t>
  </si>
  <si>
    <t>The office provide efficient and professional services.</t>
  </si>
  <si>
    <t xml:space="preserve">Continue maintaining good service </t>
  </si>
  <si>
    <t xml:space="preserve">It’s okay but still needs improvement </t>
  </si>
  <si>
    <t xml:space="preserve">It was good but still needs to be closer to the students or learners </t>
  </si>
  <si>
    <t xml:space="preserve">Good and people there are accommodating and nice. </t>
  </si>
  <si>
    <t xml:space="preserve">None </t>
  </si>
  <si>
    <t>BSN 1-A</t>
  </si>
  <si>
    <t>It was straightforward and direct.</t>
  </si>
  <si>
    <t>Everything went smooth and I feel that it is fine as it is.</t>
  </si>
  <si>
    <t>BSN 1 - A</t>
  </si>
  <si>
    <t>Very nice, but the other test tubes aren't clean. We had to clean the other apparatus before using.</t>
  </si>
  <si>
    <t>Always make sure the cleanliness of each apparatus.</t>
  </si>
  <si>
    <t>good</t>
  </si>
  <si>
    <t>none</t>
  </si>
  <si>
    <t>BSN 1B</t>
  </si>
  <si>
    <t xml:space="preserve">BSN 1-B </t>
  </si>
  <si>
    <t xml:space="preserve">The office provides organized and reliable services. The staff are approachable, respectful, and willing to assist when needed. Requests and concerns are handled properly, and the overall process is smooth and efficient.
</t>
  </si>
  <si>
    <t>To further improve customer experience, the office may consider faster processing during peak hours and clearer communication of procedures and requirements. Additional guidance or updates for students would also be helpful.</t>
  </si>
  <si>
    <t>1/28/0026</t>
  </si>
  <si>
    <t>no other comment whatsoever</t>
  </si>
  <si>
    <t>air-conditioned room</t>
  </si>
  <si>
    <t xml:space="preserve">The service provided by the office is somewhat smooth but there's a lot to process sometimes </t>
  </si>
  <si>
    <t xml:space="preserve">Experiments, </t>
  </si>
  <si>
    <t>Good</t>
  </si>
  <si>
    <t>Chemistry</t>
  </si>
  <si>
    <t>Senior</t>
  </si>
  <si>
    <t xml:space="preserve">Experiments, Lecture, </t>
  </si>
  <si>
    <t>SHS</t>
  </si>
  <si>
    <t xml:space="preserve">Nothing yall did great
</t>
  </si>
  <si>
    <t xml:space="preserve">Nothing also it's well organized </t>
  </si>
  <si>
    <t>shs</t>
  </si>
  <si>
    <t>Ma init Soper howr</t>
  </si>
  <si>
    <t>Aircon</t>
  </si>
  <si>
    <t xml:space="preserve">senior </t>
  </si>
  <si>
    <t xml:space="preserve">waay aircon </t>
  </si>
  <si>
    <t xml:space="preserve">butang aircon and free WiFi </t>
  </si>
  <si>
    <t>Shs</t>
  </si>
  <si>
    <t>Very good</t>
  </si>
  <si>
    <t>n/a</t>
  </si>
  <si>
    <t xml:space="preserve">student </t>
  </si>
  <si>
    <t>The office provides helpful and efficient services. The staff are approachable, respectful, and willing to assist with concerns or requests</t>
  </si>
  <si>
    <t>Improve response time by streamlining procedures and reducing waiting periods</t>
  </si>
  <si>
    <t>Stem</t>
  </si>
  <si>
    <t>Quick but sometimes slow :)</t>
  </si>
  <si>
    <t>More open areas</t>
  </si>
  <si>
    <t>1/20/0026</t>
  </si>
  <si>
    <t xml:space="preserve">English </t>
  </si>
  <si>
    <t xml:space="preserve">none </t>
  </si>
  <si>
    <t>Grade 11</t>
  </si>
  <si>
    <t>Nothing</t>
  </si>
  <si>
    <t xml:space="preserve">Student </t>
  </si>
  <si>
    <t xml:space="preserve">Great </t>
  </si>
  <si>
    <t>My suggestion is the lab need more items or experiment things so the student like us can experiment more .</t>
  </si>
  <si>
    <t>The office is always ready and clean when we use or enter it</t>
  </si>
  <si>
    <t xml:space="preserve">Senior Highschool </t>
  </si>
  <si>
    <t xml:space="preserve">Its ok and also very responsive </t>
  </si>
  <si>
    <t xml:space="preserve">FILAMER CHRISTIAN UNIVERSITY INC. </t>
  </si>
  <si>
    <t xml:space="preserve">The laboratory lacks water and the sink is not functioning well, it keeps on clogging </t>
  </si>
  <si>
    <t xml:space="preserve">Fix the sink and maintain water in the laboratory </t>
  </si>
  <si>
    <t>FILAMER CHRISTIAN UNIVERSITY, INC.</t>
  </si>
  <si>
    <t>The laboratory is very helpful to us students when creating our research/capstone projects. It serves as a place where we create our products and leave it to monitor for days. The only problem is that cleanliness is sometimes not maintained due to the items used and the lack of water. And since this is where we leave our products, it becomes messy. However, the services provided is good and the cleanliness is followed by students and teachers every week.</t>
  </si>
  <si>
    <t xml:space="preserve">The lack of water and the sink drainage is the main problem, so I suggest it get fixed immediately in order to follow and maintain the cleanliness of the apparatus and the whole lab. </t>
  </si>
  <si>
    <t xml:space="preserve">Senior High School </t>
  </si>
  <si>
    <t>The services provided by the office are good and efficient. The staff are accommodating, responsive, and professional in handling concerns. Overall, the service quality is satisfactory and meets expectations.</t>
  </si>
  <si>
    <t>While the service is good, I suggest fixing the clogged sink as soon as possible. A properly functioning sink is important to maintain cleanliness and hygiene in the office. Addressing this issue will help improve the overall comfort and experience of clients and staff.</t>
  </si>
  <si>
    <t>Senior High school</t>
  </si>
  <si>
    <t>It was good overall, but my bother or concern is the water and the sink that is clogged, which us students who are using it find it difficult to use the water.</t>
  </si>
  <si>
    <t>My suggestion would be for the sink and the water be fixed so that we can easily use and do not have to fetch or go outside the lab just to get a water.</t>
  </si>
  <si>
    <t>SENIOR HIGH SCHOOL</t>
  </si>
  <si>
    <t>The staff in the facility are very approachable and helpful and the lab apparatuses are also complete and efficient for us to conduct our experiments, however in terms of the water system of the lab it is very bothering because the water at the sink from time to time is very slow and most of the time does not work at all because of that we have to fetch water from the comfort rooms which is very time consuming and tiring for us, mean while the drainage of the sink at the laboratory is not good at all because it clogs most of the time.</t>
  </si>
  <si>
    <t>The only problem that the laboratory has is the water and drainage, which I hope can be looked at as soon as possible, because it hinders us students from properly performing our experiments and wastes our time with having to fetch water from time to time, which can lead to us not being able to pass our outputs at the right time or even fail at our experiments which is crucial for our grades.</t>
  </si>
  <si>
    <t>Faculty/Staff</t>
  </si>
  <si>
    <t>BSN/CN</t>
  </si>
  <si>
    <t>nothing</t>
  </si>
  <si>
    <t>Its pretty good and they’re very accomodating</t>
  </si>
  <si>
    <t>I hope they could expand and have some kind of customer service that can improve the process for waiting and having a transaction</t>
  </si>
  <si>
    <t xml:space="preserve">CN </t>
  </si>
  <si>
    <t>10/8/0026</t>
  </si>
  <si>
    <t>None at the monet</t>
  </si>
  <si>
    <t>none at the moment</t>
  </si>
  <si>
    <t xml:space="preserve">College of Nursing </t>
  </si>
  <si>
    <t>lab manual</t>
  </si>
  <si>
    <t>Cn</t>
  </si>
  <si>
    <t xml:space="preserve">Excellent </t>
  </si>
  <si>
    <t>FCU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</si>
</sst>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164" xfId="0" applyFont="1" applyNumberFormat="1"/>
    <xf borderId="0" fillId="0" fontId="1" numFmtId="0" xfId="0" applyFont="1"/>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52" displayName="Form_Responses" name="Form_Responses" id="1">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LABORATORY HIGHER EDUCATION " id="7"/>
    <tableColumn name="RESPONSIVENESS_x000a_I spent a reasonable amount of time completing my transaction." id="8"/>
    <tableColumn name="RELIABILITY_x000a_My transaction with the office is consistent with the specified requirements and steps." id="9"/>
    <tableColumn name="ACCESS AND FACILITIES_x000a_My transaction, including steps and payments was simple and convenient. The service was provided in a conducive environment." id="10"/>
    <tableColumn name="COMMUNICATION_x000a_The office promptly and clearly communicated the details of my request." id="11"/>
    <tableColumn name="COSTS_x000a_The fees I paid for my transaction were fair and reasonable." id="12"/>
    <tableColumn name="INTEGRITY_x000a_The office treated me fairly and honestly during my transaction." id="13"/>
    <tableColumn name="ASSURANCE_x000a_I was treated professionally by a knowledgeable and polite staff." id="14"/>
    <tableColumn name="OUTCOME_x000a_I’m satisfied with my overall transaction with the office." id="15"/>
    <tableColumn name="How likely are you to recommend our services to others? " id="16"/>
    <tableColumn name="What can you comment about the services provided by the office? " id="17"/>
    <tableColumn name="What are your suggestions to improve customer experience with this office?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18" width="37.63"/>
    <col customWidth="1" min="19" max="24" width="18.88"/>
  </cols>
  <sheetData>
    <row r="1" ht="2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ht="22.5" customHeight="1">
      <c r="A2" s="4">
        <v>45985.399512777774</v>
      </c>
      <c r="B2" s="5" t="s">
        <v>18</v>
      </c>
      <c r="C2" s="6">
        <v>45985.0</v>
      </c>
      <c r="D2" s="5" t="s">
        <v>19</v>
      </c>
      <c r="E2" s="5" t="s">
        <v>20</v>
      </c>
      <c r="F2" s="5" t="s">
        <v>21</v>
      </c>
      <c r="G2" s="5" t="s">
        <v>22</v>
      </c>
      <c r="H2" s="5">
        <v>5.0</v>
      </c>
      <c r="I2" s="5">
        <v>5.0</v>
      </c>
      <c r="J2" s="5">
        <v>5.0</v>
      </c>
      <c r="K2" s="5">
        <v>5.0</v>
      </c>
      <c r="L2" s="5">
        <v>5.0</v>
      </c>
      <c r="M2" s="5">
        <v>5.0</v>
      </c>
      <c r="N2" s="5">
        <v>5.0</v>
      </c>
      <c r="O2" s="5">
        <v>5.0</v>
      </c>
      <c r="P2" s="5">
        <v>10.0</v>
      </c>
      <c r="Q2" s="5" t="s">
        <v>23</v>
      </c>
      <c r="R2" s="5" t="s">
        <v>24</v>
      </c>
    </row>
    <row r="3" ht="22.5" customHeight="1">
      <c r="A3" s="4">
        <v>45985.40186770834</v>
      </c>
      <c r="B3" s="5" t="s">
        <v>18</v>
      </c>
      <c r="C3" s="6">
        <v>45985.0</v>
      </c>
      <c r="D3" s="5" t="s">
        <v>19</v>
      </c>
      <c r="E3" s="5" t="s">
        <v>20</v>
      </c>
      <c r="F3" s="5" t="s">
        <v>25</v>
      </c>
      <c r="G3" s="5" t="s">
        <v>26</v>
      </c>
      <c r="H3" s="5">
        <v>5.0</v>
      </c>
      <c r="I3" s="5">
        <v>5.0</v>
      </c>
      <c r="J3" s="5">
        <v>4.0</v>
      </c>
      <c r="K3" s="5">
        <v>4.0</v>
      </c>
      <c r="L3" s="5">
        <v>4.0</v>
      </c>
      <c r="M3" s="5">
        <v>4.0</v>
      </c>
      <c r="N3" s="5">
        <v>4.0</v>
      </c>
      <c r="O3" s="5">
        <v>5.0</v>
      </c>
      <c r="P3" s="5">
        <v>9.0</v>
      </c>
      <c r="Q3" s="5" t="s">
        <v>27</v>
      </c>
      <c r="R3" s="5" t="s">
        <v>28</v>
      </c>
    </row>
    <row r="4" ht="22.5" customHeight="1">
      <c r="A4" s="4">
        <v>45985.412656782406</v>
      </c>
      <c r="B4" s="5" t="s">
        <v>18</v>
      </c>
      <c r="C4" s="6">
        <v>45985.0</v>
      </c>
      <c r="D4" s="5" t="s">
        <v>19</v>
      </c>
      <c r="E4" s="5" t="s">
        <v>29</v>
      </c>
      <c r="F4" s="5" t="s">
        <v>21</v>
      </c>
      <c r="G4" s="5" t="s">
        <v>30</v>
      </c>
      <c r="H4" s="5">
        <v>4.0</v>
      </c>
      <c r="I4" s="5">
        <v>4.0</v>
      </c>
      <c r="J4" s="5">
        <v>4.0</v>
      </c>
      <c r="K4" s="5">
        <v>4.0</v>
      </c>
      <c r="L4" s="5">
        <v>4.0</v>
      </c>
      <c r="M4" s="5">
        <v>4.0</v>
      </c>
      <c r="N4" s="5">
        <v>4.0</v>
      </c>
      <c r="O4" s="5">
        <v>4.0</v>
      </c>
      <c r="P4" s="5">
        <v>8.0</v>
      </c>
      <c r="Q4" s="7"/>
      <c r="R4" s="7"/>
    </row>
    <row r="5" ht="22.5" customHeight="1">
      <c r="A5" s="4">
        <v>45985.41493439815</v>
      </c>
      <c r="B5" s="5" t="s">
        <v>18</v>
      </c>
      <c r="C5" s="6">
        <v>45937.0</v>
      </c>
      <c r="D5" s="5" t="s">
        <v>19</v>
      </c>
      <c r="E5" s="5" t="s">
        <v>31</v>
      </c>
      <c r="F5" s="5" t="s">
        <v>21</v>
      </c>
      <c r="G5" s="5" t="s">
        <v>30</v>
      </c>
      <c r="H5" s="5">
        <v>4.0</v>
      </c>
      <c r="I5" s="5">
        <v>5.0</v>
      </c>
      <c r="J5" s="5">
        <v>5.0</v>
      </c>
      <c r="K5" s="5">
        <v>5.0</v>
      </c>
      <c r="L5" s="5">
        <v>5.0</v>
      </c>
      <c r="M5" s="5">
        <v>5.0</v>
      </c>
      <c r="N5" s="5">
        <v>5.0</v>
      </c>
      <c r="O5" s="5">
        <v>5.0</v>
      </c>
      <c r="P5" s="5">
        <v>9.0</v>
      </c>
      <c r="Q5" s="5" t="s">
        <v>32</v>
      </c>
      <c r="R5" s="5" t="s">
        <v>33</v>
      </c>
    </row>
    <row r="6" ht="22.5" customHeight="1">
      <c r="A6" s="4">
        <v>45985.41751274306</v>
      </c>
      <c r="B6" s="5" t="s">
        <v>18</v>
      </c>
      <c r="C6" s="6">
        <v>45937.0</v>
      </c>
      <c r="D6" s="5" t="s">
        <v>19</v>
      </c>
      <c r="E6" s="5" t="s">
        <v>20</v>
      </c>
      <c r="F6" s="5" t="s">
        <v>25</v>
      </c>
      <c r="G6" s="5" t="s">
        <v>26</v>
      </c>
      <c r="H6" s="5">
        <v>4.0</v>
      </c>
      <c r="I6" s="5">
        <v>5.0</v>
      </c>
      <c r="J6" s="5">
        <v>4.0</v>
      </c>
      <c r="K6" s="5">
        <v>4.0</v>
      </c>
      <c r="L6" s="5">
        <v>4.0</v>
      </c>
      <c r="M6" s="5">
        <v>4.0</v>
      </c>
      <c r="N6" s="5">
        <v>4.0</v>
      </c>
      <c r="O6" s="5">
        <v>4.0</v>
      </c>
      <c r="P6" s="5">
        <v>8.0</v>
      </c>
      <c r="Q6" s="7"/>
      <c r="R6" s="7"/>
    </row>
    <row r="7" ht="22.5" customHeight="1">
      <c r="A7" s="4">
        <v>45985.46684519676</v>
      </c>
      <c r="B7" s="5" t="s">
        <v>18</v>
      </c>
      <c r="C7" s="6" t="s">
        <v>34</v>
      </c>
      <c r="D7" s="5" t="s">
        <v>19</v>
      </c>
      <c r="E7" s="5" t="s">
        <v>35</v>
      </c>
      <c r="F7" s="5" t="s">
        <v>25</v>
      </c>
      <c r="G7" s="5" t="s">
        <v>26</v>
      </c>
      <c r="H7" s="5">
        <v>4.0</v>
      </c>
      <c r="I7" s="5">
        <v>5.0</v>
      </c>
      <c r="J7" s="5">
        <v>4.0</v>
      </c>
      <c r="K7" s="5">
        <v>5.0</v>
      </c>
      <c r="L7" s="5">
        <v>5.0</v>
      </c>
      <c r="M7" s="5">
        <v>5.0</v>
      </c>
      <c r="N7" s="5">
        <v>5.0</v>
      </c>
      <c r="O7" s="5">
        <v>5.0</v>
      </c>
      <c r="P7" s="5">
        <v>8.0</v>
      </c>
      <c r="Q7" s="5" t="s">
        <v>36</v>
      </c>
      <c r="R7" s="5" t="s">
        <v>37</v>
      </c>
    </row>
    <row r="8" ht="22.5" customHeight="1">
      <c r="A8" s="4">
        <v>45985.471312951384</v>
      </c>
      <c r="B8" s="5" t="s">
        <v>18</v>
      </c>
      <c r="C8" s="6">
        <v>45985.0</v>
      </c>
      <c r="D8" s="5" t="s">
        <v>19</v>
      </c>
      <c r="E8" s="7"/>
      <c r="F8" s="5" t="s">
        <v>25</v>
      </c>
      <c r="G8" s="5" t="s">
        <v>26</v>
      </c>
      <c r="H8" s="5">
        <v>5.0</v>
      </c>
      <c r="I8" s="5">
        <v>5.0</v>
      </c>
      <c r="J8" s="5">
        <v>5.0</v>
      </c>
      <c r="K8" s="5">
        <v>5.0</v>
      </c>
      <c r="L8" s="5">
        <v>5.0</v>
      </c>
      <c r="M8" s="5">
        <v>5.0</v>
      </c>
      <c r="N8" s="5">
        <v>5.0</v>
      </c>
      <c r="O8" s="5">
        <v>5.0</v>
      </c>
      <c r="P8" s="5">
        <v>10.0</v>
      </c>
      <c r="Q8" s="7"/>
      <c r="R8" s="7"/>
    </row>
    <row r="9" ht="22.5" customHeight="1">
      <c r="A9" s="4">
        <v>45985.473886747684</v>
      </c>
      <c r="B9" s="5" t="s">
        <v>18</v>
      </c>
      <c r="C9" s="6">
        <v>45985.0</v>
      </c>
      <c r="D9" s="5" t="s">
        <v>19</v>
      </c>
      <c r="E9" s="5" t="s">
        <v>29</v>
      </c>
      <c r="F9" s="5" t="s">
        <v>25</v>
      </c>
      <c r="G9" s="5" t="s">
        <v>30</v>
      </c>
      <c r="H9" s="5">
        <v>4.0</v>
      </c>
      <c r="I9" s="5">
        <v>4.0</v>
      </c>
      <c r="J9" s="5">
        <v>4.0</v>
      </c>
      <c r="K9" s="5">
        <v>4.0</v>
      </c>
      <c r="L9" s="5">
        <v>4.0</v>
      </c>
      <c r="M9" s="5">
        <v>4.0</v>
      </c>
      <c r="N9" s="5">
        <v>4.0</v>
      </c>
      <c r="O9" s="5">
        <v>4.0</v>
      </c>
      <c r="P9" s="5">
        <v>8.0</v>
      </c>
      <c r="Q9" s="7"/>
      <c r="R9" s="7"/>
    </row>
    <row r="10" ht="22.5" customHeight="1">
      <c r="A10" s="4">
        <v>45985.490753101854</v>
      </c>
      <c r="B10" s="5" t="s">
        <v>18</v>
      </c>
      <c r="C10" s="6">
        <v>45985.0</v>
      </c>
      <c r="D10" s="5" t="s">
        <v>19</v>
      </c>
      <c r="E10" s="5" t="s">
        <v>38</v>
      </c>
      <c r="F10" s="5" t="s">
        <v>25</v>
      </c>
      <c r="G10" s="5" t="s">
        <v>30</v>
      </c>
      <c r="H10" s="5">
        <v>3.0</v>
      </c>
      <c r="I10" s="5">
        <v>3.0</v>
      </c>
      <c r="J10" s="5">
        <v>3.0</v>
      </c>
      <c r="K10" s="5">
        <v>4.0</v>
      </c>
      <c r="L10" s="5">
        <v>3.0</v>
      </c>
      <c r="M10" s="5">
        <v>3.0</v>
      </c>
      <c r="N10" s="5">
        <v>5.0</v>
      </c>
      <c r="O10" s="5">
        <v>3.0</v>
      </c>
      <c r="P10" s="5">
        <v>5.0</v>
      </c>
      <c r="Q10" s="7"/>
      <c r="R10" s="7"/>
    </row>
    <row r="11" ht="22.5" customHeight="1">
      <c r="A11" s="4">
        <v>45985.59092587963</v>
      </c>
      <c r="B11" s="5" t="s">
        <v>18</v>
      </c>
      <c r="C11" s="6">
        <v>45985.0</v>
      </c>
      <c r="D11" s="5" t="s">
        <v>19</v>
      </c>
      <c r="E11" s="7"/>
      <c r="F11" s="5" t="s">
        <v>21</v>
      </c>
      <c r="G11" s="5" t="s">
        <v>26</v>
      </c>
      <c r="H11" s="5">
        <v>5.0</v>
      </c>
      <c r="I11" s="5">
        <v>5.0</v>
      </c>
      <c r="J11" s="5">
        <v>5.0</v>
      </c>
      <c r="K11" s="5">
        <v>5.0</v>
      </c>
      <c r="L11" s="5">
        <v>5.0</v>
      </c>
      <c r="M11" s="5">
        <v>5.0</v>
      </c>
      <c r="N11" s="5">
        <v>5.0</v>
      </c>
      <c r="O11" s="5">
        <v>5.0</v>
      </c>
      <c r="P11" s="5">
        <v>10.0</v>
      </c>
      <c r="Q11" s="5" t="s">
        <v>39</v>
      </c>
      <c r="R11" s="5" t="s">
        <v>40</v>
      </c>
    </row>
    <row r="12" ht="22.5" customHeight="1">
      <c r="A12" s="4">
        <v>45985.60036469907</v>
      </c>
      <c r="B12" s="5" t="s">
        <v>18</v>
      </c>
      <c r="C12" s="6">
        <v>45985.0</v>
      </c>
      <c r="D12" s="5" t="s">
        <v>19</v>
      </c>
      <c r="E12" s="7"/>
      <c r="F12" s="5" t="s">
        <v>25</v>
      </c>
      <c r="G12" s="5" t="s">
        <v>26</v>
      </c>
      <c r="H12" s="5">
        <v>4.0</v>
      </c>
      <c r="I12" s="5">
        <v>5.0</v>
      </c>
      <c r="J12" s="5">
        <v>5.0</v>
      </c>
      <c r="K12" s="5">
        <v>5.0</v>
      </c>
      <c r="L12" s="5">
        <v>4.0</v>
      </c>
      <c r="M12" s="5">
        <v>5.0</v>
      </c>
      <c r="N12" s="5">
        <v>5.0</v>
      </c>
      <c r="O12" s="5">
        <v>5.0</v>
      </c>
      <c r="P12" s="5">
        <v>9.0</v>
      </c>
      <c r="Q12" s="7"/>
      <c r="R12" s="7"/>
    </row>
    <row r="13" ht="22.5" customHeight="1">
      <c r="A13" s="4">
        <v>45985.60180888889</v>
      </c>
      <c r="B13" s="5" t="s">
        <v>18</v>
      </c>
      <c r="C13" s="6">
        <v>45985.0</v>
      </c>
      <c r="D13" s="5" t="s">
        <v>19</v>
      </c>
      <c r="E13" s="7"/>
      <c r="F13" s="5" t="s">
        <v>25</v>
      </c>
      <c r="G13" s="5" t="s">
        <v>26</v>
      </c>
      <c r="H13" s="5">
        <v>5.0</v>
      </c>
      <c r="I13" s="5">
        <v>5.0</v>
      </c>
      <c r="J13" s="5">
        <v>5.0</v>
      </c>
      <c r="K13" s="5">
        <v>5.0</v>
      </c>
      <c r="L13" s="5">
        <v>5.0</v>
      </c>
      <c r="M13" s="5">
        <v>5.0</v>
      </c>
      <c r="N13" s="5">
        <v>5.0</v>
      </c>
      <c r="O13" s="5">
        <v>5.0</v>
      </c>
      <c r="P13" s="5">
        <v>7.0</v>
      </c>
      <c r="Q13" s="7"/>
      <c r="R13" s="7"/>
    </row>
    <row r="14" ht="22.5" customHeight="1">
      <c r="A14" s="4">
        <v>45985.637243379635</v>
      </c>
      <c r="B14" s="5" t="s">
        <v>18</v>
      </c>
      <c r="C14" s="6">
        <v>45985.0</v>
      </c>
      <c r="D14" s="5" t="s">
        <v>19</v>
      </c>
      <c r="E14" s="5" t="s">
        <v>20</v>
      </c>
      <c r="F14" s="5" t="s">
        <v>25</v>
      </c>
      <c r="G14" s="5" t="s">
        <v>30</v>
      </c>
      <c r="H14" s="5">
        <v>4.0</v>
      </c>
      <c r="I14" s="5">
        <v>4.0</v>
      </c>
      <c r="J14" s="5">
        <v>4.0</v>
      </c>
      <c r="K14" s="5">
        <v>4.0</v>
      </c>
      <c r="L14" s="5">
        <v>4.0</v>
      </c>
      <c r="M14" s="5">
        <v>4.0</v>
      </c>
      <c r="N14" s="5">
        <v>4.0</v>
      </c>
      <c r="O14" s="5">
        <v>4.0</v>
      </c>
      <c r="P14" s="5">
        <v>7.0</v>
      </c>
      <c r="Q14" s="5" t="s">
        <v>41</v>
      </c>
      <c r="R14" s="5" t="s">
        <v>41</v>
      </c>
    </row>
    <row r="15" ht="22.5" customHeight="1">
      <c r="A15" s="4">
        <v>45985.67505172454</v>
      </c>
      <c r="B15" s="5" t="s">
        <v>18</v>
      </c>
      <c r="C15" s="6">
        <v>45985.0</v>
      </c>
      <c r="D15" s="5" t="s">
        <v>19</v>
      </c>
      <c r="E15" s="7"/>
      <c r="F15" s="5" t="s">
        <v>25</v>
      </c>
      <c r="G15" s="5" t="s">
        <v>30</v>
      </c>
      <c r="H15" s="5">
        <v>4.0</v>
      </c>
      <c r="I15" s="5">
        <v>4.0</v>
      </c>
      <c r="J15" s="5">
        <v>4.0</v>
      </c>
      <c r="K15" s="5">
        <v>4.0</v>
      </c>
      <c r="L15" s="5">
        <v>4.0</v>
      </c>
      <c r="M15" s="5">
        <v>4.0</v>
      </c>
      <c r="N15" s="5">
        <v>4.0</v>
      </c>
      <c r="O15" s="5">
        <v>4.0</v>
      </c>
      <c r="P15" s="5">
        <v>9.0</v>
      </c>
      <c r="Q15" s="5" t="s">
        <v>42</v>
      </c>
      <c r="R15" s="5" t="s">
        <v>43</v>
      </c>
    </row>
    <row r="16" ht="22.5" customHeight="1">
      <c r="A16" s="4">
        <v>45985.715365069445</v>
      </c>
      <c r="B16" s="5" t="s">
        <v>18</v>
      </c>
      <c r="C16" s="6">
        <v>45937.0</v>
      </c>
      <c r="D16" s="5" t="s">
        <v>19</v>
      </c>
      <c r="E16" s="7"/>
      <c r="F16" s="5" t="s">
        <v>25</v>
      </c>
      <c r="G16" s="5" t="s">
        <v>26</v>
      </c>
      <c r="H16" s="5">
        <v>5.0</v>
      </c>
      <c r="I16" s="5">
        <v>5.0</v>
      </c>
      <c r="J16" s="5">
        <v>5.0</v>
      </c>
      <c r="K16" s="5">
        <v>5.0</v>
      </c>
      <c r="L16" s="5">
        <v>5.0</v>
      </c>
      <c r="M16" s="5">
        <v>5.0</v>
      </c>
      <c r="N16" s="5">
        <v>5.0</v>
      </c>
      <c r="O16" s="5">
        <v>5.0</v>
      </c>
      <c r="P16" s="5">
        <v>9.0</v>
      </c>
      <c r="Q16" s="7"/>
      <c r="R16" s="7"/>
    </row>
    <row r="17" ht="22.5" customHeight="1">
      <c r="A17" s="4">
        <v>45985.73783452546</v>
      </c>
      <c r="B17" s="5" t="s">
        <v>18</v>
      </c>
      <c r="C17" s="6">
        <v>45985.0</v>
      </c>
      <c r="D17" s="5" t="s">
        <v>19</v>
      </c>
      <c r="E17" s="7"/>
      <c r="F17" s="5" t="s">
        <v>25</v>
      </c>
      <c r="G17" s="5" t="s">
        <v>26</v>
      </c>
      <c r="H17" s="5">
        <v>5.0</v>
      </c>
      <c r="I17" s="5">
        <v>5.0</v>
      </c>
      <c r="J17" s="5">
        <v>5.0</v>
      </c>
      <c r="K17" s="5">
        <v>5.0</v>
      </c>
      <c r="L17" s="5">
        <v>4.0</v>
      </c>
      <c r="M17" s="5">
        <v>5.0</v>
      </c>
      <c r="N17" s="5">
        <v>5.0</v>
      </c>
      <c r="O17" s="5">
        <v>5.0</v>
      </c>
      <c r="P17" s="5">
        <v>9.0</v>
      </c>
      <c r="Q17" s="5" t="s">
        <v>44</v>
      </c>
      <c r="R17" s="5" t="s">
        <v>45</v>
      </c>
    </row>
    <row r="18" ht="22.5" customHeight="1">
      <c r="A18" s="4">
        <v>45986.06875604167</v>
      </c>
      <c r="B18" s="5" t="s">
        <v>18</v>
      </c>
      <c r="C18" s="6">
        <v>45986.0</v>
      </c>
      <c r="D18" s="5" t="s">
        <v>19</v>
      </c>
      <c r="E18" s="7"/>
      <c r="F18" s="5" t="s">
        <v>21</v>
      </c>
      <c r="G18" s="5" t="s">
        <v>30</v>
      </c>
      <c r="H18" s="5">
        <v>5.0</v>
      </c>
      <c r="I18" s="5">
        <v>5.0</v>
      </c>
      <c r="J18" s="5">
        <v>5.0</v>
      </c>
      <c r="K18" s="5">
        <v>5.0</v>
      </c>
      <c r="L18" s="5">
        <v>4.0</v>
      </c>
      <c r="M18" s="5">
        <v>5.0</v>
      </c>
      <c r="N18" s="5">
        <v>5.0</v>
      </c>
      <c r="O18" s="5">
        <v>5.0</v>
      </c>
      <c r="P18" s="5">
        <v>10.0</v>
      </c>
      <c r="Q18" s="7"/>
      <c r="R18" s="7"/>
    </row>
    <row r="19" ht="22.5" customHeight="1">
      <c r="A19" s="4">
        <v>45986.488613622685</v>
      </c>
      <c r="B19" s="5" t="s">
        <v>18</v>
      </c>
      <c r="C19" s="6">
        <v>45986.0</v>
      </c>
      <c r="D19" s="5" t="s">
        <v>19</v>
      </c>
      <c r="E19" s="5" t="s">
        <v>29</v>
      </c>
      <c r="F19" s="5" t="s">
        <v>25</v>
      </c>
      <c r="G19" s="5" t="s">
        <v>30</v>
      </c>
      <c r="H19" s="5">
        <v>4.0</v>
      </c>
      <c r="I19" s="5">
        <v>5.0</v>
      </c>
      <c r="J19" s="5">
        <v>4.0</v>
      </c>
      <c r="K19" s="5">
        <v>4.0</v>
      </c>
      <c r="L19" s="5">
        <v>4.0</v>
      </c>
      <c r="M19" s="5">
        <v>5.0</v>
      </c>
      <c r="N19" s="5">
        <v>5.0</v>
      </c>
      <c r="O19" s="5">
        <v>4.0</v>
      </c>
      <c r="P19" s="5">
        <v>8.0</v>
      </c>
      <c r="Q19" s="7"/>
      <c r="R19" s="7"/>
    </row>
    <row r="20" ht="22.5" customHeight="1">
      <c r="A20" s="4">
        <v>45986.49497109954</v>
      </c>
      <c r="B20" s="5" t="s">
        <v>18</v>
      </c>
      <c r="C20" s="6">
        <v>45986.0</v>
      </c>
      <c r="D20" s="5" t="s">
        <v>19</v>
      </c>
      <c r="E20" s="5" t="s">
        <v>46</v>
      </c>
      <c r="F20" s="5" t="s">
        <v>25</v>
      </c>
      <c r="G20" s="5" t="s">
        <v>30</v>
      </c>
      <c r="H20" s="5">
        <v>4.0</v>
      </c>
      <c r="I20" s="5">
        <v>5.0</v>
      </c>
      <c r="J20" s="5">
        <v>4.0</v>
      </c>
      <c r="K20" s="5">
        <v>5.0</v>
      </c>
      <c r="L20" s="5">
        <v>4.0</v>
      </c>
      <c r="M20" s="5">
        <v>5.0</v>
      </c>
      <c r="N20" s="5">
        <v>5.0</v>
      </c>
      <c r="O20" s="5">
        <v>5.0</v>
      </c>
      <c r="P20" s="5">
        <v>10.0</v>
      </c>
      <c r="Q20" s="5" t="s">
        <v>47</v>
      </c>
      <c r="R20" s="5" t="s">
        <v>47</v>
      </c>
    </row>
    <row r="21" ht="22.5" customHeight="1">
      <c r="A21" s="4">
        <v>45987.89252336806</v>
      </c>
      <c r="B21" s="5" t="s">
        <v>18</v>
      </c>
      <c r="C21" s="6">
        <v>45937.0</v>
      </c>
      <c r="D21" s="5" t="s">
        <v>19</v>
      </c>
      <c r="E21" s="7"/>
      <c r="F21" s="5" t="s">
        <v>25</v>
      </c>
      <c r="G21" s="5" t="s">
        <v>26</v>
      </c>
      <c r="H21" s="5">
        <v>5.0</v>
      </c>
      <c r="I21" s="5">
        <v>5.0</v>
      </c>
      <c r="J21" s="5">
        <v>5.0</v>
      </c>
      <c r="K21" s="5">
        <v>5.0</v>
      </c>
      <c r="L21" s="5">
        <v>5.0</v>
      </c>
      <c r="M21" s="5">
        <v>5.0</v>
      </c>
      <c r="N21" s="5">
        <v>5.0</v>
      </c>
      <c r="O21" s="5">
        <v>5.0</v>
      </c>
      <c r="P21" s="5">
        <v>10.0</v>
      </c>
      <c r="Q21" s="7"/>
      <c r="R21" s="7"/>
    </row>
    <row r="22" ht="22.5" customHeight="1">
      <c r="A22" s="8">
        <v>45992.355614768516</v>
      </c>
      <c r="B22" s="9" t="s">
        <v>18</v>
      </c>
      <c r="C22" s="10">
        <v>45992.0</v>
      </c>
      <c r="D22" s="9" t="s">
        <v>19</v>
      </c>
      <c r="E22" s="9" t="s">
        <v>29</v>
      </c>
      <c r="F22" s="9" t="s">
        <v>25</v>
      </c>
      <c r="G22" s="9" t="s">
        <v>30</v>
      </c>
      <c r="H22" s="9">
        <v>4.0</v>
      </c>
      <c r="I22" s="9">
        <v>4.0</v>
      </c>
      <c r="J22" s="9">
        <v>4.0</v>
      </c>
      <c r="K22" s="9">
        <v>4.0</v>
      </c>
      <c r="L22" s="9">
        <v>3.0</v>
      </c>
      <c r="M22" s="9">
        <v>5.0</v>
      </c>
      <c r="N22" s="9">
        <v>5.0</v>
      </c>
      <c r="O22" s="9">
        <v>4.0</v>
      </c>
      <c r="P22" s="9">
        <v>9.0</v>
      </c>
    </row>
    <row r="23" ht="22.5" customHeight="1">
      <c r="A23" s="8">
        <v>45992.357180046296</v>
      </c>
      <c r="B23" s="9" t="s">
        <v>18</v>
      </c>
      <c r="C23" s="10">
        <v>45992.0</v>
      </c>
      <c r="D23" s="9" t="s">
        <v>19</v>
      </c>
      <c r="E23" s="9" t="s">
        <v>29</v>
      </c>
      <c r="F23" s="9" t="s">
        <v>48</v>
      </c>
      <c r="G23" s="9" t="s">
        <v>30</v>
      </c>
      <c r="H23" s="9">
        <v>5.0</v>
      </c>
      <c r="I23" s="9">
        <v>5.0</v>
      </c>
      <c r="J23" s="9">
        <v>5.0</v>
      </c>
      <c r="K23" s="9">
        <v>5.0</v>
      </c>
      <c r="L23" s="9">
        <v>5.0</v>
      </c>
      <c r="M23" s="9">
        <v>5.0</v>
      </c>
      <c r="N23" s="9">
        <v>5.0</v>
      </c>
      <c r="O23" s="9">
        <v>5.0</v>
      </c>
      <c r="P23" s="9">
        <v>10.0</v>
      </c>
      <c r="Q23" s="9" t="s">
        <v>49</v>
      </c>
      <c r="R23" s="9" t="s">
        <v>49</v>
      </c>
    </row>
    <row r="24" ht="22.5" customHeight="1">
      <c r="A24" s="8">
        <v>45992.35865596065</v>
      </c>
      <c r="B24" s="9" t="s">
        <v>18</v>
      </c>
      <c r="C24" s="10">
        <v>45992.0</v>
      </c>
      <c r="D24" s="9" t="s">
        <v>19</v>
      </c>
      <c r="E24" s="9" t="s">
        <v>29</v>
      </c>
      <c r="F24" s="9" t="s">
        <v>25</v>
      </c>
      <c r="G24" s="9" t="s">
        <v>30</v>
      </c>
      <c r="H24" s="9">
        <v>4.0</v>
      </c>
      <c r="I24" s="9">
        <v>4.0</v>
      </c>
      <c r="J24" s="9">
        <v>3.0</v>
      </c>
      <c r="K24" s="9">
        <v>3.0</v>
      </c>
      <c r="L24" s="9">
        <v>4.0</v>
      </c>
      <c r="M24" s="9">
        <v>4.0</v>
      </c>
      <c r="N24" s="9">
        <v>4.0</v>
      </c>
      <c r="O24" s="9">
        <v>4.0</v>
      </c>
      <c r="P24" s="9">
        <v>8.0</v>
      </c>
    </row>
    <row r="25" ht="22.5" customHeight="1">
      <c r="A25" s="8">
        <v>45993.00961273148</v>
      </c>
      <c r="B25" s="9" t="s">
        <v>18</v>
      </c>
      <c r="C25" s="10">
        <v>45993.0</v>
      </c>
      <c r="D25" s="9" t="s">
        <v>19</v>
      </c>
      <c r="E25" s="9" t="s">
        <v>50</v>
      </c>
      <c r="F25" s="9" t="s">
        <v>25</v>
      </c>
      <c r="G25" s="9" t="s">
        <v>30</v>
      </c>
      <c r="H25" s="9">
        <v>5.0</v>
      </c>
      <c r="I25" s="9">
        <v>5.0</v>
      </c>
      <c r="J25" s="9">
        <v>4.0</v>
      </c>
      <c r="K25" s="9">
        <v>5.0</v>
      </c>
      <c r="L25" s="9">
        <v>5.0</v>
      </c>
      <c r="M25" s="9">
        <v>5.0</v>
      </c>
      <c r="N25" s="9">
        <v>5.0</v>
      </c>
      <c r="O25" s="9">
        <v>5.0</v>
      </c>
      <c r="P25" s="9">
        <v>10.0</v>
      </c>
    </row>
    <row r="26" ht="22.5" customHeight="1">
      <c r="A26" s="8">
        <v>45993.01327393518</v>
      </c>
      <c r="B26" s="9" t="s">
        <v>18</v>
      </c>
      <c r="C26" s="10">
        <v>45907.0</v>
      </c>
      <c r="D26" s="9" t="s">
        <v>19</v>
      </c>
      <c r="E26" s="9" t="s">
        <v>51</v>
      </c>
      <c r="F26" s="9" t="s">
        <v>25</v>
      </c>
      <c r="G26" s="9" t="s">
        <v>26</v>
      </c>
      <c r="H26" s="9">
        <v>5.0</v>
      </c>
      <c r="I26" s="9">
        <v>5.0</v>
      </c>
      <c r="J26" s="9">
        <v>5.0</v>
      </c>
      <c r="K26" s="9">
        <v>5.0</v>
      </c>
      <c r="L26" s="9">
        <v>5.0</v>
      </c>
      <c r="M26" s="9">
        <v>5.0</v>
      </c>
      <c r="N26" s="9">
        <v>5.0</v>
      </c>
      <c r="O26" s="9">
        <v>5.0</v>
      </c>
      <c r="P26" s="9">
        <v>10.0</v>
      </c>
    </row>
    <row r="27" ht="22.5" customHeight="1">
      <c r="A27" s="8">
        <v>46011.594530069444</v>
      </c>
      <c r="B27" s="9" t="s">
        <v>18</v>
      </c>
      <c r="C27" s="10">
        <v>46011.0</v>
      </c>
      <c r="D27" s="9" t="s">
        <v>19</v>
      </c>
      <c r="E27" s="9" t="s">
        <v>52</v>
      </c>
      <c r="F27" s="9" t="s">
        <v>25</v>
      </c>
      <c r="G27" s="9" t="s">
        <v>30</v>
      </c>
      <c r="H27" s="9">
        <v>5.0</v>
      </c>
      <c r="I27" s="9">
        <v>4.0</v>
      </c>
      <c r="J27" s="9">
        <v>4.0</v>
      </c>
      <c r="K27" s="9">
        <v>3.0</v>
      </c>
      <c r="L27" s="9">
        <v>3.0</v>
      </c>
      <c r="M27" s="9">
        <v>4.0</v>
      </c>
      <c r="N27" s="9">
        <v>4.0</v>
      </c>
      <c r="O27" s="9">
        <v>4.0</v>
      </c>
      <c r="P27" s="9">
        <v>7.0</v>
      </c>
      <c r="Q27" s="9" t="s">
        <v>53</v>
      </c>
    </row>
    <row r="28" ht="22.5" customHeight="1">
      <c r="A28" s="8">
        <v>46025.86719158565</v>
      </c>
      <c r="B28" s="9" t="s">
        <v>18</v>
      </c>
      <c r="C28" s="10">
        <v>39146.0</v>
      </c>
      <c r="D28" s="9" t="s">
        <v>19</v>
      </c>
      <c r="F28" s="9" t="s">
        <v>21</v>
      </c>
      <c r="G28" s="9" t="s">
        <v>30</v>
      </c>
      <c r="H28" s="9">
        <v>5.0</v>
      </c>
      <c r="I28" s="9">
        <v>5.0</v>
      </c>
      <c r="J28" s="9">
        <v>5.0</v>
      </c>
      <c r="K28" s="9">
        <v>5.0</v>
      </c>
      <c r="L28" s="9">
        <v>5.0</v>
      </c>
      <c r="M28" s="9">
        <v>5.0</v>
      </c>
      <c r="N28" s="9">
        <v>5.0</v>
      </c>
      <c r="O28" s="9">
        <v>5.0</v>
      </c>
      <c r="P28" s="9">
        <v>10.0</v>
      </c>
    </row>
    <row r="29" ht="22.5" customHeight="1">
      <c r="A29" s="8">
        <v>46029.66459130787</v>
      </c>
      <c r="B29" s="9" t="s">
        <v>18</v>
      </c>
      <c r="C29" s="10">
        <v>46029.0</v>
      </c>
      <c r="D29" s="9" t="s">
        <v>19</v>
      </c>
      <c r="F29" s="9" t="s">
        <v>25</v>
      </c>
      <c r="G29" s="9" t="s">
        <v>26</v>
      </c>
      <c r="H29" s="9">
        <v>4.0</v>
      </c>
      <c r="I29" s="9">
        <v>4.0</v>
      </c>
      <c r="J29" s="9">
        <v>3.0</v>
      </c>
      <c r="K29" s="9">
        <v>4.0</v>
      </c>
      <c r="L29" s="9">
        <v>4.0</v>
      </c>
      <c r="M29" s="9">
        <v>5.0</v>
      </c>
      <c r="N29" s="9">
        <v>5.0</v>
      </c>
      <c r="O29" s="9">
        <v>4.0</v>
      </c>
      <c r="P29" s="9">
        <v>8.0</v>
      </c>
    </row>
    <row r="30" ht="22.5" customHeight="1">
      <c r="A30" s="8">
        <v>46035.62353748843</v>
      </c>
      <c r="B30" s="9" t="s">
        <v>18</v>
      </c>
      <c r="C30" s="10" t="s">
        <v>54</v>
      </c>
      <c r="D30" s="9" t="s">
        <v>19</v>
      </c>
      <c r="F30" s="9" t="s">
        <v>25</v>
      </c>
      <c r="G30" s="9" t="s">
        <v>26</v>
      </c>
      <c r="H30" s="9">
        <v>4.0</v>
      </c>
      <c r="I30" s="9">
        <v>4.0</v>
      </c>
      <c r="J30" s="9">
        <v>4.0</v>
      </c>
      <c r="K30" s="9">
        <v>4.0</v>
      </c>
      <c r="L30" s="9">
        <v>4.0</v>
      </c>
      <c r="M30" s="9">
        <v>4.0</v>
      </c>
      <c r="N30" s="9">
        <v>4.0</v>
      </c>
      <c r="O30" s="9">
        <v>4.0</v>
      </c>
      <c r="P30" s="9">
        <v>7.0</v>
      </c>
    </row>
    <row r="31" ht="22.5" customHeight="1">
      <c r="A31" s="8">
        <v>46035.623971469904</v>
      </c>
      <c r="B31" s="9" t="s">
        <v>18</v>
      </c>
      <c r="C31" s="10">
        <v>46035.0</v>
      </c>
      <c r="D31" s="9" t="s">
        <v>19</v>
      </c>
      <c r="E31" s="9" t="s">
        <v>55</v>
      </c>
      <c r="F31" s="9" t="s">
        <v>25</v>
      </c>
      <c r="G31" s="9" t="s">
        <v>30</v>
      </c>
      <c r="H31" s="9">
        <v>3.0</v>
      </c>
      <c r="I31" s="9">
        <v>3.0</v>
      </c>
      <c r="J31" s="9">
        <v>3.0</v>
      </c>
      <c r="K31" s="9">
        <v>3.0</v>
      </c>
      <c r="L31" s="9">
        <v>3.0</v>
      </c>
      <c r="M31" s="9">
        <v>4.0</v>
      </c>
      <c r="N31" s="9">
        <v>5.0</v>
      </c>
      <c r="O31" s="9">
        <v>3.0</v>
      </c>
      <c r="P31" s="9">
        <v>5.0</v>
      </c>
    </row>
    <row r="32" ht="22.5" customHeight="1">
      <c r="A32" s="8">
        <v>46035.634707523146</v>
      </c>
      <c r="B32" s="9" t="s">
        <v>18</v>
      </c>
      <c r="C32" s="10">
        <v>46035.0</v>
      </c>
      <c r="D32" s="9" t="s">
        <v>19</v>
      </c>
      <c r="F32" s="9" t="s">
        <v>25</v>
      </c>
      <c r="G32" s="9" t="s">
        <v>26</v>
      </c>
      <c r="H32" s="9">
        <v>4.0</v>
      </c>
      <c r="I32" s="9">
        <v>4.0</v>
      </c>
      <c r="J32" s="9">
        <v>4.0</v>
      </c>
      <c r="K32" s="9">
        <v>4.0</v>
      </c>
      <c r="M32" s="9">
        <v>4.0</v>
      </c>
      <c r="N32" s="9">
        <v>4.0</v>
      </c>
      <c r="O32" s="9">
        <v>4.0</v>
      </c>
      <c r="P32" s="9">
        <v>9.0</v>
      </c>
    </row>
    <row r="33" ht="22.5" customHeight="1">
      <c r="A33" s="8">
        <v>46035.642506041666</v>
      </c>
      <c r="B33" s="9" t="s">
        <v>18</v>
      </c>
      <c r="C33" s="10">
        <v>46035.0</v>
      </c>
      <c r="D33" s="9" t="s">
        <v>19</v>
      </c>
      <c r="F33" s="9" t="s">
        <v>25</v>
      </c>
      <c r="G33" s="9" t="s">
        <v>26</v>
      </c>
      <c r="H33" s="9">
        <v>5.0</v>
      </c>
      <c r="I33" s="9">
        <v>5.0</v>
      </c>
      <c r="J33" s="9">
        <v>5.0</v>
      </c>
      <c r="K33" s="9">
        <v>5.0</v>
      </c>
      <c r="L33" s="9">
        <v>5.0</v>
      </c>
      <c r="M33" s="9">
        <v>5.0</v>
      </c>
      <c r="N33" s="9">
        <v>5.0</v>
      </c>
      <c r="O33" s="9">
        <v>5.0</v>
      </c>
      <c r="P33" s="9">
        <v>9.0</v>
      </c>
      <c r="Q33" s="9" t="s">
        <v>56</v>
      </c>
      <c r="R33" s="9" t="s">
        <v>57</v>
      </c>
    </row>
    <row r="34" ht="22.5" customHeight="1">
      <c r="A34" s="8">
        <v>46035.67515657407</v>
      </c>
      <c r="B34" s="9" t="s">
        <v>18</v>
      </c>
      <c r="C34" s="10">
        <v>46035.0</v>
      </c>
      <c r="D34" s="9" t="s">
        <v>19</v>
      </c>
      <c r="F34" s="9" t="s">
        <v>21</v>
      </c>
      <c r="G34" s="9" t="s">
        <v>26</v>
      </c>
      <c r="H34" s="9">
        <v>5.0</v>
      </c>
      <c r="I34" s="9">
        <v>5.0</v>
      </c>
      <c r="J34" s="9">
        <v>5.0</v>
      </c>
      <c r="K34" s="9">
        <v>5.0</v>
      </c>
      <c r="L34" s="9">
        <v>5.0</v>
      </c>
      <c r="M34" s="9">
        <v>5.0</v>
      </c>
      <c r="N34" s="9">
        <v>5.0</v>
      </c>
      <c r="O34" s="9">
        <v>5.0</v>
      </c>
      <c r="P34" s="9">
        <v>10.0</v>
      </c>
    </row>
    <row r="35" ht="22.5" customHeight="1">
      <c r="A35" s="8">
        <v>46036.03048931713</v>
      </c>
      <c r="B35" s="9" t="s">
        <v>18</v>
      </c>
      <c r="C35" s="10">
        <v>46035.0</v>
      </c>
      <c r="D35" s="9" t="s">
        <v>19</v>
      </c>
      <c r="E35" s="9" t="s">
        <v>52</v>
      </c>
      <c r="F35" s="9" t="s">
        <v>25</v>
      </c>
      <c r="G35" s="9" t="s">
        <v>26</v>
      </c>
      <c r="H35" s="9">
        <v>3.0</v>
      </c>
      <c r="I35" s="9">
        <v>4.0</v>
      </c>
      <c r="J35" s="9">
        <v>4.0</v>
      </c>
      <c r="K35" s="9">
        <v>4.0</v>
      </c>
      <c r="L35" s="9">
        <v>4.0</v>
      </c>
      <c r="M35" s="9">
        <v>4.0</v>
      </c>
      <c r="N35" s="9">
        <v>3.0</v>
      </c>
      <c r="O35" s="9">
        <v>3.0</v>
      </c>
      <c r="P35" s="9">
        <v>6.0</v>
      </c>
      <c r="Q35" s="9" t="s">
        <v>58</v>
      </c>
      <c r="R35" s="9" t="s">
        <v>59</v>
      </c>
    </row>
    <row r="36" ht="22.5" customHeight="1">
      <c r="A36" s="8">
        <v>46036.879997118056</v>
      </c>
      <c r="B36" s="9" t="s">
        <v>18</v>
      </c>
      <c r="C36" s="10">
        <v>46036.0</v>
      </c>
      <c r="D36" s="9" t="s">
        <v>19</v>
      </c>
      <c r="F36" s="9" t="s">
        <v>25</v>
      </c>
      <c r="G36" s="9" t="s">
        <v>26</v>
      </c>
      <c r="H36" s="9">
        <v>4.0</v>
      </c>
      <c r="I36" s="9">
        <v>4.0</v>
      </c>
      <c r="J36" s="9">
        <v>4.0</v>
      </c>
      <c r="K36" s="9">
        <v>4.0</v>
      </c>
      <c r="L36" s="9">
        <v>4.0</v>
      </c>
      <c r="M36" s="9">
        <v>4.0</v>
      </c>
      <c r="N36" s="9">
        <v>4.0</v>
      </c>
      <c r="O36" s="9">
        <v>4.0</v>
      </c>
      <c r="P36" s="9">
        <v>8.0</v>
      </c>
      <c r="Q36" s="9" t="s">
        <v>60</v>
      </c>
      <c r="R36" s="9" t="s">
        <v>61</v>
      </c>
    </row>
    <row r="37" ht="22.5" customHeight="1">
      <c r="A37" s="8">
        <v>46036.88187158565</v>
      </c>
      <c r="B37" s="9" t="s">
        <v>18</v>
      </c>
      <c r="C37" s="10">
        <v>46036.0</v>
      </c>
      <c r="D37" s="9" t="s">
        <v>19</v>
      </c>
      <c r="E37" s="9" t="s">
        <v>62</v>
      </c>
      <c r="F37" s="9" t="s">
        <v>21</v>
      </c>
      <c r="G37" s="9" t="s">
        <v>26</v>
      </c>
      <c r="H37" s="9">
        <v>5.0</v>
      </c>
      <c r="I37" s="9">
        <v>5.0</v>
      </c>
      <c r="J37" s="9">
        <v>5.0</v>
      </c>
      <c r="K37" s="9">
        <v>5.0</v>
      </c>
      <c r="L37" s="9">
        <v>5.0</v>
      </c>
      <c r="M37" s="9">
        <v>5.0</v>
      </c>
      <c r="N37" s="9">
        <v>5.0</v>
      </c>
      <c r="O37" s="9">
        <v>5.0</v>
      </c>
      <c r="P37" s="9">
        <v>10.0</v>
      </c>
      <c r="Q37" s="9" t="s">
        <v>63</v>
      </c>
      <c r="R37" s="9" t="s">
        <v>64</v>
      </c>
    </row>
    <row r="38" ht="22.5" customHeight="1">
      <c r="A38" s="8">
        <v>46036.884879317135</v>
      </c>
      <c r="B38" s="9" t="s">
        <v>18</v>
      </c>
      <c r="C38" s="10">
        <v>46036.0</v>
      </c>
      <c r="D38" s="9" t="s">
        <v>19</v>
      </c>
      <c r="F38" s="9" t="s">
        <v>21</v>
      </c>
      <c r="G38" s="9" t="s">
        <v>30</v>
      </c>
      <c r="H38" s="9">
        <v>5.0</v>
      </c>
      <c r="I38" s="9">
        <v>4.0</v>
      </c>
      <c r="J38" s="9">
        <v>4.0</v>
      </c>
      <c r="K38" s="9">
        <v>5.0</v>
      </c>
      <c r="L38" s="9">
        <v>3.0</v>
      </c>
      <c r="M38" s="9">
        <v>5.0</v>
      </c>
      <c r="N38" s="9">
        <v>5.0</v>
      </c>
      <c r="O38" s="9">
        <v>5.0</v>
      </c>
      <c r="P38" s="9">
        <v>10.0</v>
      </c>
    </row>
    <row r="39" ht="22.5" customHeight="1">
      <c r="A39" s="8">
        <v>46036.885913819446</v>
      </c>
      <c r="B39" s="9" t="s">
        <v>18</v>
      </c>
      <c r="C39" s="10">
        <v>46036.0</v>
      </c>
      <c r="D39" s="9" t="s">
        <v>19</v>
      </c>
      <c r="F39" s="9" t="s">
        <v>21</v>
      </c>
      <c r="G39" s="9" t="s">
        <v>26</v>
      </c>
      <c r="H39" s="9">
        <v>4.0</v>
      </c>
      <c r="I39" s="9">
        <v>5.0</v>
      </c>
      <c r="J39" s="9">
        <v>5.0</v>
      </c>
      <c r="K39" s="9">
        <v>5.0</v>
      </c>
      <c r="L39" s="9">
        <v>5.0</v>
      </c>
      <c r="M39" s="9">
        <v>5.0</v>
      </c>
      <c r="N39" s="9">
        <v>5.0</v>
      </c>
      <c r="O39" s="9">
        <v>5.0</v>
      </c>
      <c r="P39" s="9">
        <v>10.0</v>
      </c>
    </row>
    <row r="40" ht="22.5" customHeight="1">
      <c r="A40" s="8">
        <v>46036.895259247685</v>
      </c>
      <c r="B40" s="9" t="s">
        <v>18</v>
      </c>
      <c r="C40" s="10">
        <v>46036.0</v>
      </c>
      <c r="D40" s="9" t="s">
        <v>19</v>
      </c>
      <c r="F40" s="9" t="s">
        <v>25</v>
      </c>
      <c r="G40" s="9" t="s">
        <v>30</v>
      </c>
      <c r="H40" s="9">
        <v>4.0</v>
      </c>
      <c r="I40" s="9">
        <v>3.0</v>
      </c>
      <c r="J40" s="9">
        <v>3.0</v>
      </c>
      <c r="K40" s="9">
        <v>4.0</v>
      </c>
      <c r="L40" s="9">
        <v>2.0</v>
      </c>
      <c r="M40" s="9">
        <v>4.0</v>
      </c>
      <c r="N40" s="9">
        <v>4.0</v>
      </c>
      <c r="O40" s="9">
        <v>3.0</v>
      </c>
      <c r="P40" s="9">
        <v>6.0</v>
      </c>
    </row>
    <row r="41" ht="22.5" customHeight="1">
      <c r="A41" s="8">
        <v>46036.90651579861</v>
      </c>
      <c r="B41" s="9" t="s">
        <v>18</v>
      </c>
      <c r="C41" s="10">
        <v>46036.0</v>
      </c>
      <c r="D41" s="9" t="s">
        <v>19</v>
      </c>
      <c r="F41" s="9" t="s">
        <v>25</v>
      </c>
      <c r="G41" s="9" t="s">
        <v>30</v>
      </c>
      <c r="H41" s="9">
        <v>5.0</v>
      </c>
      <c r="I41" s="9">
        <v>5.0</v>
      </c>
      <c r="J41" s="9">
        <v>5.0</v>
      </c>
      <c r="K41" s="9">
        <v>5.0</v>
      </c>
      <c r="L41" s="9">
        <v>5.0</v>
      </c>
      <c r="M41" s="9">
        <v>5.0</v>
      </c>
      <c r="N41" s="9">
        <v>5.0</v>
      </c>
      <c r="O41" s="9">
        <v>5.0</v>
      </c>
      <c r="P41" s="9">
        <v>10.0</v>
      </c>
    </row>
    <row r="42" ht="22.5" customHeight="1">
      <c r="A42" s="8">
        <v>46036.91061465278</v>
      </c>
      <c r="B42" s="9" t="s">
        <v>18</v>
      </c>
      <c r="C42" s="10">
        <v>46036.0</v>
      </c>
      <c r="D42" s="9" t="s">
        <v>19</v>
      </c>
      <c r="F42" s="9" t="s">
        <v>25</v>
      </c>
      <c r="G42" s="9" t="s">
        <v>30</v>
      </c>
      <c r="H42" s="9">
        <v>4.0</v>
      </c>
      <c r="I42" s="9">
        <v>4.0</v>
      </c>
      <c r="J42" s="9">
        <v>4.0</v>
      </c>
      <c r="K42" s="9">
        <v>4.0</v>
      </c>
      <c r="M42" s="9">
        <v>5.0</v>
      </c>
      <c r="N42" s="9">
        <v>5.0</v>
      </c>
      <c r="O42" s="9">
        <v>5.0</v>
      </c>
      <c r="P42" s="9">
        <v>9.0</v>
      </c>
    </row>
    <row r="43" ht="22.5" customHeight="1">
      <c r="A43" s="8">
        <v>46036.92333326389</v>
      </c>
      <c r="B43" s="9" t="s">
        <v>18</v>
      </c>
      <c r="C43" s="10">
        <v>46036.0</v>
      </c>
      <c r="D43" s="9" t="s">
        <v>19</v>
      </c>
      <c r="F43" s="9" t="s">
        <v>21</v>
      </c>
      <c r="G43" s="9" t="s">
        <v>26</v>
      </c>
      <c r="H43" s="9">
        <v>5.0</v>
      </c>
      <c r="I43" s="9">
        <v>5.0</v>
      </c>
      <c r="J43" s="9">
        <v>5.0</v>
      </c>
      <c r="K43" s="9">
        <v>5.0</v>
      </c>
      <c r="L43" s="9">
        <v>5.0</v>
      </c>
      <c r="M43" s="9">
        <v>5.0</v>
      </c>
      <c r="N43" s="9">
        <v>5.0</v>
      </c>
      <c r="O43" s="9">
        <v>5.0</v>
      </c>
      <c r="P43" s="9">
        <v>9.0</v>
      </c>
    </row>
    <row r="44" ht="22.5" customHeight="1">
      <c r="A44" s="8">
        <v>46036.924013958334</v>
      </c>
      <c r="B44" s="9" t="s">
        <v>18</v>
      </c>
      <c r="C44" s="10">
        <v>46036.0</v>
      </c>
      <c r="D44" s="9" t="s">
        <v>19</v>
      </c>
      <c r="F44" s="9" t="s">
        <v>25</v>
      </c>
      <c r="G44" s="9" t="s">
        <v>26</v>
      </c>
      <c r="H44" s="9">
        <v>5.0</v>
      </c>
      <c r="I44" s="9">
        <v>5.0</v>
      </c>
      <c r="J44" s="9">
        <v>5.0</v>
      </c>
      <c r="K44" s="9">
        <v>5.0</v>
      </c>
      <c r="L44" s="9">
        <v>5.0</v>
      </c>
      <c r="M44" s="9">
        <v>5.0</v>
      </c>
      <c r="N44" s="9">
        <v>5.0</v>
      </c>
      <c r="O44" s="9">
        <v>5.0</v>
      </c>
      <c r="P44" s="9">
        <v>10.0</v>
      </c>
    </row>
    <row r="45" ht="22.5" customHeight="1">
      <c r="A45" s="8">
        <v>46036.924268518516</v>
      </c>
      <c r="B45" s="9" t="s">
        <v>18</v>
      </c>
      <c r="C45" s="10">
        <v>46036.0</v>
      </c>
      <c r="D45" s="9" t="s">
        <v>19</v>
      </c>
      <c r="F45" s="9" t="s">
        <v>21</v>
      </c>
      <c r="G45" s="9" t="s">
        <v>26</v>
      </c>
      <c r="H45" s="9">
        <v>5.0</v>
      </c>
      <c r="I45" s="9">
        <v>5.0</v>
      </c>
      <c r="J45" s="9">
        <v>5.0</v>
      </c>
      <c r="K45" s="9">
        <v>5.0</v>
      </c>
      <c r="L45" s="9">
        <v>5.0</v>
      </c>
      <c r="M45" s="9">
        <v>5.0</v>
      </c>
      <c r="N45" s="9">
        <v>5.0</v>
      </c>
      <c r="O45" s="9">
        <v>5.0</v>
      </c>
      <c r="P45" s="9">
        <v>10.0</v>
      </c>
    </row>
    <row r="46" ht="22.5" customHeight="1">
      <c r="A46" s="8">
        <v>46036.925067511576</v>
      </c>
      <c r="B46" s="9" t="s">
        <v>18</v>
      </c>
      <c r="C46" s="10">
        <v>46036.0</v>
      </c>
      <c r="D46" s="9" t="s">
        <v>19</v>
      </c>
      <c r="F46" s="9" t="s">
        <v>21</v>
      </c>
      <c r="G46" s="9" t="s">
        <v>26</v>
      </c>
      <c r="H46" s="9">
        <v>5.0</v>
      </c>
      <c r="I46" s="9">
        <v>5.0</v>
      </c>
      <c r="J46" s="9">
        <v>5.0</v>
      </c>
      <c r="K46" s="9">
        <v>5.0</v>
      </c>
      <c r="L46" s="9">
        <v>5.0</v>
      </c>
      <c r="M46" s="9">
        <v>5.0</v>
      </c>
      <c r="N46" s="9">
        <v>5.0</v>
      </c>
      <c r="O46" s="9">
        <v>5.0</v>
      </c>
      <c r="P46" s="9">
        <v>10.0</v>
      </c>
    </row>
    <row r="47" ht="22.5" customHeight="1">
      <c r="A47" s="8">
        <v>46036.927016064816</v>
      </c>
      <c r="B47" s="9" t="s">
        <v>18</v>
      </c>
      <c r="C47" s="10">
        <v>46036.0</v>
      </c>
      <c r="D47" s="9" t="s">
        <v>19</v>
      </c>
      <c r="E47" s="9" t="s">
        <v>65</v>
      </c>
      <c r="F47" s="9" t="s">
        <v>21</v>
      </c>
      <c r="G47" s="9" t="s">
        <v>26</v>
      </c>
      <c r="H47" s="9">
        <v>4.0</v>
      </c>
      <c r="I47" s="9">
        <v>3.0</v>
      </c>
      <c r="J47" s="9">
        <v>3.0</v>
      </c>
      <c r="K47" s="9">
        <v>4.0</v>
      </c>
      <c r="L47" s="9">
        <v>4.0</v>
      </c>
      <c r="M47" s="9">
        <v>4.0</v>
      </c>
      <c r="N47" s="9">
        <v>4.0</v>
      </c>
      <c r="O47" s="9">
        <v>3.0</v>
      </c>
      <c r="P47" s="9">
        <v>7.0</v>
      </c>
    </row>
    <row r="48" ht="22.5" customHeight="1">
      <c r="A48" s="8">
        <v>46036.92888063657</v>
      </c>
      <c r="B48" s="9" t="s">
        <v>18</v>
      </c>
      <c r="C48" s="10">
        <v>46036.0</v>
      </c>
      <c r="D48" s="9" t="s">
        <v>19</v>
      </c>
      <c r="F48" s="9" t="s">
        <v>25</v>
      </c>
      <c r="G48" s="9" t="s">
        <v>30</v>
      </c>
      <c r="H48" s="9">
        <v>1.0</v>
      </c>
      <c r="I48" s="9">
        <v>1.0</v>
      </c>
      <c r="J48" s="9">
        <v>1.0</v>
      </c>
      <c r="K48" s="9">
        <v>1.0</v>
      </c>
      <c r="L48" s="9">
        <v>5.0</v>
      </c>
      <c r="M48" s="9">
        <v>1.0</v>
      </c>
      <c r="N48" s="9">
        <v>1.0</v>
      </c>
      <c r="O48" s="9">
        <v>1.0</v>
      </c>
      <c r="P48" s="9">
        <v>10.0</v>
      </c>
    </row>
    <row r="49" ht="22.5" customHeight="1">
      <c r="A49" s="8">
        <v>46036.95898619213</v>
      </c>
      <c r="B49" s="9" t="s">
        <v>18</v>
      </c>
      <c r="C49" s="10">
        <v>46036.0</v>
      </c>
      <c r="D49" s="9" t="s">
        <v>19</v>
      </c>
      <c r="F49" s="9" t="s">
        <v>21</v>
      </c>
      <c r="G49" s="9" t="s">
        <v>26</v>
      </c>
      <c r="H49" s="9">
        <v>4.0</v>
      </c>
      <c r="I49" s="9">
        <v>4.0</v>
      </c>
      <c r="J49" s="9">
        <v>4.0</v>
      </c>
      <c r="K49" s="9">
        <v>4.0</v>
      </c>
      <c r="L49" s="9">
        <v>4.0</v>
      </c>
      <c r="M49" s="9">
        <v>4.0</v>
      </c>
      <c r="N49" s="9">
        <v>4.0</v>
      </c>
      <c r="O49" s="9">
        <v>4.0</v>
      </c>
      <c r="P49" s="9">
        <v>8.0</v>
      </c>
      <c r="Q49" s="9" t="s">
        <v>66</v>
      </c>
      <c r="R49" s="9" t="s">
        <v>67</v>
      </c>
    </row>
    <row r="50" ht="22.5" customHeight="1">
      <c r="A50" s="8">
        <v>46037.58978606481</v>
      </c>
      <c r="B50" s="9" t="s">
        <v>18</v>
      </c>
      <c r="C50" s="10">
        <v>46035.0</v>
      </c>
      <c r="D50" s="9" t="s">
        <v>19</v>
      </c>
      <c r="F50" s="9" t="s">
        <v>21</v>
      </c>
      <c r="G50" s="9" t="s">
        <v>26</v>
      </c>
      <c r="H50" s="9">
        <v>4.0</v>
      </c>
      <c r="I50" s="9">
        <v>3.0</v>
      </c>
      <c r="J50" s="9">
        <v>4.0</v>
      </c>
      <c r="K50" s="9">
        <v>4.0</v>
      </c>
      <c r="L50" s="9">
        <v>4.0</v>
      </c>
      <c r="M50" s="9">
        <v>4.0</v>
      </c>
      <c r="N50" s="9">
        <v>4.0</v>
      </c>
      <c r="O50" s="9">
        <v>4.0</v>
      </c>
      <c r="P50" s="9">
        <v>8.0</v>
      </c>
    </row>
    <row r="51" ht="22.5" customHeight="1">
      <c r="A51" s="8">
        <v>46037.776100856485</v>
      </c>
      <c r="B51" s="9" t="s">
        <v>18</v>
      </c>
      <c r="C51" s="10">
        <v>46036.0</v>
      </c>
      <c r="D51" s="9" t="s">
        <v>19</v>
      </c>
      <c r="F51" s="9" t="s">
        <v>25</v>
      </c>
      <c r="G51" s="9" t="s">
        <v>26</v>
      </c>
      <c r="H51" s="9">
        <v>5.0</v>
      </c>
      <c r="I51" s="9">
        <v>5.0</v>
      </c>
      <c r="K51" s="9">
        <v>5.0</v>
      </c>
      <c r="M51" s="9">
        <v>5.0</v>
      </c>
      <c r="N51" s="9">
        <v>5.0</v>
      </c>
      <c r="O51" s="9">
        <v>5.0</v>
      </c>
      <c r="P51" s="9">
        <v>8.0</v>
      </c>
      <c r="Q51" s="9" t="s">
        <v>49</v>
      </c>
      <c r="R51" s="9" t="s">
        <v>49</v>
      </c>
    </row>
    <row r="52" ht="22.5" customHeight="1">
      <c r="A52" s="8">
        <v>46038.37257832176</v>
      </c>
      <c r="B52" s="9" t="s">
        <v>18</v>
      </c>
      <c r="C52" s="10">
        <v>46036.0</v>
      </c>
      <c r="D52" s="9" t="s">
        <v>19</v>
      </c>
      <c r="F52" s="9" t="s">
        <v>25</v>
      </c>
      <c r="G52" s="9" t="s">
        <v>26</v>
      </c>
      <c r="H52" s="9">
        <v>4.0</v>
      </c>
      <c r="I52" s="9">
        <v>5.0</v>
      </c>
      <c r="J52" s="9">
        <v>4.0</v>
      </c>
      <c r="K52" s="9">
        <v>4.0</v>
      </c>
      <c r="L52" s="9">
        <v>4.0</v>
      </c>
      <c r="M52" s="9">
        <v>4.0</v>
      </c>
      <c r="N52" s="9">
        <v>4.0</v>
      </c>
      <c r="O52" s="9">
        <v>4.0</v>
      </c>
      <c r="P52" s="9">
        <v>8.0</v>
      </c>
    </row>
    <row r="53" ht="22.5" customHeight="1">
      <c r="A53" s="8">
        <v>46039.350869918984</v>
      </c>
      <c r="B53" s="9" t="s">
        <v>18</v>
      </c>
      <c r="C53" s="10">
        <v>46036.0</v>
      </c>
      <c r="D53" s="9" t="s">
        <v>19</v>
      </c>
      <c r="F53" s="9" t="s">
        <v>21</v>
      </c>
      <c r="G53" s="9" t="s">
        <v>26</v>
      </c>
      <c r="H53" s="9">
        <v>5.0</v>
      </c>
      <c r="I53" s="9">
        <v>5.0</v>
      </c>
      <c r="J53" s="9">
        <v>5.0</v>
      </c>
      <c r="K53" s="9">
        <v>5.0</v>
      </c>
      <c r="L53" s="9">
        <v>5.0</v>
      </c>
      <c r="M53" s="9">
        <v>5.0</v>
      </c>
      <c r="N53" s="9">
        <v>5.0</v>
      </c>
      <c r="O53" s="9">
        <v>5.0</v>
      </c>
      <c r="P53" s="9">
        <v>8.0</v>
      </c>
    </row>
    <row r="54" ht="22.5" customHeight="1">
      <c r="A54" s="8">
        <v>46039.38402773148</v>
      </c>
      <c r="B54" s="9" t="s">
        <v>18</v>
      </c>
      <c r="C54" s="10">
        <v>46035.0</v>
      </c>
      <c r="D54" s="9" t="s">
        <v>19</v>
      </c>
      <c r="F54" s="9" t="s">
        <v>25</v>
      </c>
      <c r="G54" s="9" t="s">
        <v>26</v>
      </c>
      <c r="H54" s="9">
        <v>5.0</v>
      </c>
      <c r="I54" s="9">
        <v>5.0</v>
      </c>
      <c r="J54" s="9">
        <v>5.0</v>
      </c>
      <c r="K54" s="9">
        <v>5.0</v>
      </c>
      <c r="L54" s="9">
        <v>5.0</v>
      </c>
      <c r="M54" s="9">
        <v>5.0</v>
      </c>
      <c r="N54" s="9">
        <v>5.0</v>
      </c>
      <c r="O54" s="9">
        <v>5.0</v>
      </c>
      <c r="P54" s="9">
        <v>10.0</v>
      </c>
      <c r="Q54" s="9" t="s">
        <v>68</v>
      </c>
      <c r="R54" s="9" t="s">
        <v>69</v>
      </c>
    </row>
    <row r="55" ht="22.5" customHeight="1">
      <c r="A55" s="8">
        <v>46039.87962975695</v>
      </c>
      <c r="B55" s="9" t="s">
        <v>18</v>
      </c>
      <c r="C55" s="10">
        <v>46035.0</v>
      </c>
      <c r="D55" s="9" t="s">
        <v>19</v>
      </c>
      <c r="E55" s="9" t="s">
        <v>70</v>
      </c>
      <c r="F55" s="9" t="s">
        <v>21</v>
      </c>
      <c r="G55" s="9" t="s">
        <v>26</v>
      </c>
      <c r="H55" s="9">
        <v>5.0</v>
      </c>
      <c r="I55" s="9">
        <v>4.0</v>
      </c>
      <c r="J55" s="9">
        <v>4.0</v>
      </c>
      <c r="K55" s="9">
        <v>5.0</v>
      </c>
      <c r="L55" s="9">
        <v>3.0</v>
      </c>
      <c r="M55" s="9">
        <v>5.0</v>
      </c>
      <c r="N55" s="9">
        <v>4.0</v>
      </c>
      <c r="O55" s="9">
        <v>5.0</v>
      </c>
      <c r="P55" s="9">
        <v>10.0</v>
      </c>
    </row>
    <row r="56" ht="22.5" customHeight="1">
      <c r="A56" s="8">
        <v>46039.88157533565</v>
      </c>
      <c r="B56" s="9" t="s">
        <v>18</v>
      </c>
      <c r="C56" s="10">
        <v>46035.0</v>
      </c>
      <c r="D56" s="9" t="s">
        <v>19</v>
      </c>
      <c r="E56" s="9" t="s">
        <v>71</v>
      </c>
      <c r="F56" s="9" t="s">
        <v>25</v>
      </c>
      <c r="G56" s="9" t="s">
        <v>26</v>
      </c>
      <c r="H56" s="9">
        <v>4.0</v>
      </c>
      <c r="I56" s="9">
        <v>3.0</v>
      </c>
      <c r="J56" s="9">
        <v>3.0</v>
      </c>
      <c r="K56" s="9">
        <v>3.0</v>
      </c>
      <c r="L56" s="9">
        <v>3.0</v>
      </c>
      <c r="M56" s="9">
        <v>3.0</v>
      </c>
      <c r="N56" s="9">
        <v>3.0</v>
      </c>
      <c r="O56" s="9">
        <v>3.0</v>
      </c>
      <c r="P56" s="9">
        <v>6.0</v>
      </c>
    </row>
    <row r="57" ht="22.5" customHeight="1">
      <c r="A57" s="8">
        <v>46040.64431564815</v>
      </c>
      <c r="B57" s="9" t="s">
        <v>18</v>
      </c>
      <c r="C57" s="10">
        <v>46036.0</v>
      </c>
      <c r="D57" s="9" t="s">
        <v>19</v>
      </c>
      <c r="F57" s="9" t="s">
        <v>25</v>
      </c>
      <c r="G57" s="9" t="s">
        <v>26</v>
      </c>
      <c r="H57" s="9">
        <v>5.0</v>
      </c>
      <c r="I57" s="9">
        <v>5.0</v>
      </c>
      <c r="J57" s="9">
        <v>5.0</v>
      </c>
      <c r="K57" s="9">
        <v>5.0</v>
      </c>
      <c r="L57" s="9">
        <v>5.0</v>
      </c>
      <c r="M57" s="9">
        <v>5.0</v>
      </c>
      <c r="N57" s="9">
        <v>5.0</v>
      </c>
      <c r="O57" s="9">
        <v>5.0</v>
      </c>
      <c r="P57" s="9">
        <v>10.0</v>
      </c>
    </row>
    <row r="58" ht="22.5" customHeight="1">
      <c r="A58" s="8">
        <v>46040.744001099534</v>
      </c>
      <c r="B58" s="9" t="s">
        <v>18</v>
      </c>
      <c r="C58" s="10">
        <v>46036.0</v>
      </c>
      <c r="D58" s="9" t="s">
        <v>19</v>
      </c>
      <c r="F58" s="9" t="s">
        <v>25</v>
      </c>
      <c r="G58" s="9" t="s">
        <v>30</v>
      </c>
      <c r="H58" s="9">
        <v>5.0</v>
      </c>
      <c r="I58" s="9">
        <v>5.0</v>
      </c>
      <c r="J58" s="9">
        <v>5.0</v>
      </c>
      <c r="K58" s="9">
        <v>5.0</v>
      </c>
      <c r="L58" s="9">
        <v>5.0</v>
      </c>
      <c r="M58" s="9">
        <v>5.0</v>
      </c>
      <c r="N58" s="9">
        <v>5.0</v>
      </c>
      <c r="O58" s="9">
        <v>5.0</v>
      </c>
      <c r="P58" s="9">
        <v>7.0</v>
      </c>
    </row>
    <row r="59" ht="22.5" customHeight="1">
      <c r="A59" s="8">
        <v>46040.8730640162</v>
      </c>
      <c r="B59" s="9" t="s">
        <v>18</v>
      </c>
      <c r="C59" s="10">
        <v>46035.0</v>
      </c>
      <c r="D59" s="9" t="s">
        <v>19</v>
      </c>
      <c r="E59" s="9" t="s">
        <v>20</v>
      </c>
      <c r="F59" s="9" t="s">
        <v>25</v>
      </c>
      <c r="G59" s="9" t="s">
        <v>26</v>
      </c>
      <c r="H59" s="9">
        <v>4.0</v>
      </c>
      <c r="I59" s="9">
        <v>4.0</v>
      </c>
      <c r="J59" s="9">
        <v>4.0</v>
      </c>
      <c r="K59" s="9">
        <v>4.0</v>
      </c>
      <c r="L59" s="9">
        <v>4.0</v>
      </c>
      <c r="M59" s="9">
        <v>4.0</v>
      </c>
      <c r="N59" s="9">
        <v>4.0</v>
      </c>
      <c r="O59" s="9">
        <v>4.0</v>
      </c>
      <c r="P59" s="9">
        <v>8.0</v>
      </c>
      <c r="Q59" s="9" t="s">
        <v>72</v>
      </c>
      <c r="R59" s="9" t="s">
        <v>73</v>
      </c>
    </row>
    <row r="60" ht="22.5" customHeight="1">
      <c r="A60" s="8">
        <v>46050.309662569445</v>
      </c>
      <c r="B60" s="9" t="s">
        <v>18</v>
      </c>
      <c r="C60" s="10" t="s">
        <v>74</v>
      </c>
      <c r="D60" s="9" t="s">
        <v>19</v>
      </c>
      <c r="F60" s="9" t="s">
        <v>25</v>
      </c>
      <c r="G60" s="9" t="s">
        <v>26</v>
      </c>
      <c r="H60" s="9">
        <v>5.0</v>
      </c>
      <c r="I60" s="9">
        <v>5.0</v>
      </c>
      <c r="J60" s="9">
        <v>5.0</v>
      </c>
      <c r="K60" s="9">
        <v>5.0</v>
      </c>
      <c r="L60" s="9">
        <v>5.0</v>
      </c>
      <c r="M60" s="9">
        <v>5.0</v>
      </c>
      <c r="N60" s="9">
        <v>5.0</v>
      </c>
      <c r="O60" s="9">
        <v>5.0</v>
      </c>
      <c r="P60" s="9">
        <v>10.0</v>
      </c>
    </row>
    <row r="61" ht="22.5" customHeight="1">
      <c r="A61" s="8">
        <v>46050.30966905093</v>
      </c>
      <c r="B61" s="9" t="s">
        <v>18</v>
      </c>
      <c r="C61" s="10">
        <v>46050.0</v>
      </c>
      <c r="D61" s="9" t="s">
        <v>19</v>
      </c>
      <c r="F61" s="9" t="s">
        <v>21</v>
      </c>
      <c r="G61" s="9" t="s">
        <v>26</v>
      </c>
      <c r="H61" s="9">
        <v>4.0</v>
      </c>
      <c r="I61" s="9">
        <v>3.0</v>
      </c>
      <c r="J61" s="9">
        <v>4.0</v>
      </c>
      <c r="K61" s="9">
        <v>5.0</v>
      </c>
      <c r="L61" s="9">
        <v>3.0</v>
      </c>
      <c r="M61" s="9">
        <v>4.0</v>
      </c>
      <c r="N61" s="9">
        <v>3.0</v>
      </c>
      <c r="O61" s="9">
        <v>4.0</v>
      </c>
      <c r="P61" s="9">
        <v>8.0</v>
      </c>
    </row>
    <row r="62" ht="22.5" customHeight="1">
      <c r="A62" s="8">
        <v>46050.31036505787</v>
      </c>
      <c r="B62" s="9" t="s">
        <v>18</v>
      </c>
      <c r="C62" s="10">
        <v>46043.0</v>
      </c>
      <c r="D62" s="9" t="s">
        <v>19</v>
      </c>
      <c r="F62" s="9" t="s">
        <v>48</v>
      </c>
      <c r="G62" s="9" t="s">
        <v>26</v>
      </c>
      <c r="H62" s="9">
        <v>3.0</v>
      </c>
      <c r="I62" s="9">
        <v>4.0</v>
      </c>
      <c r="J62" s="9">
        <v>4.0</v>
      </c>
      <c r="K62" s="9">
        <v>5.0</v>
      </c>
      <c r="L62" s="9">
        <v>4.0</v>
      </c>
      <c r="M62" s="9">
        <v>4.0</v>
      </c>
      <c r="N62" s="9">
        <v>5.0</v>
      </c>
      <c r="O62" s="9">
        <v>5.0</v>
      </c>
      <c r="P62" s="9">
        <v>9.0</v>
      </c>
    </row>
    <row r="63" ht="22.5" customHeight="1">
      <c r="A63" s="8">
        <v>46050.31050702547</v>
      </c>
      <c r="B63" s="9" t="s">
        <v>18</v>
      </c>
      <c r="C63" s="10">
        <v>46050.0</v>
      </c>
      <c r="D63" s="9" t="s">
        <v>19</v>
      </c>
      <c r="F63" s="9" t="s">
        <v>25</v>
      </c>
      <c r="G63" s="9" t="s">
        <v>26</v>
      </c>
      <c r="H63" s="9">
        <v>3.0</v>
      </c>
      <c r="I63" s="9">
        <v>3.0</v>
      </c>
      <c r="J63" s="9">
        <v>4.0</v>
      </c>
      <c r="K63" s="9">
        <v>5.0</v>
      </c>
      <c r="L63" s="9">
        <v>4.0</v>
      </c>
      <c r="M63" s="9">
        <v>4.0</v>
      </c>
      <c r="N63" s="9">
        <v>5.0</v>
      </c>
      <c r="O63" s="9">
        <v>5.0</v>
      </c>
      <c r="P63" s="9">
        <v>8.0</v>
      </c>
    </row>
    <row r="64" ht="22.5" customHeight="1">
      <c r="A64" s="8">
        <v>46050.31682384259</v>
      </c>
      <c r="B64" s="9" t="s">
        <v>18</v>
      </c>
      <c r="C64" s="10">
        <v>46050.0</v>
      </c>
      <c r="D64" s="9" t="s">
        <v>19</v>
      </c>
      <c r="F64" s="9" t="s">
        <v>25</v>
      </c>
      <c r="G64" s="9" t="s">
        <v>30</v>
      </c>
      <c r="H64" s="9">
        <v>5.0</v>
      </c>
      <c r="I64" s="9">
        <v>5.0</v>
      </c>
      <c r="J64" s="9">
        <v>5.0</v>
      </c>
      <c r="K64" s="9">
        <v>5.0</v>
      </c>
      <c r="L64" s="9">
        <v>5.0</v>
      </c>
      <c r="M64" s="9">
        <v>5.0</v>
      </c>
      <c r="N64" s="9">
        <v>5.0</v>
      </c>
      <c r="O64" s="9">
        <v>5.0</v>
      </c>
      <c r="P64" s="9">
        <v>7.0</v>
      </c>
      <c r="Q64" s="9" t="s">
        <v>75</v>
      </c>
      <c r="R64" s="9" t="s">
        <v>76</v>
      </c>
    </row>
    <row r="65" ht="22.5" customHeight="1">
      <c r="A65" s="8">
        <v>46050.318083680555</v>
      </c>
      <c r="B65" s="9" t="s">
        <v>18</v>
      </c>
      <c r="C65" s="10">
        <v>46050.0</v>
      </c>
      <c r="D65" s="9" t="s">
        <v>19</v>
      </c>
      <c r="F65" s="9" t="s">
        <v>21</v>
      </c>
      <c r="G65" s="9" t="s">
        <v>26</v>
      </c>
      <c r="H65" s="9">
        <v>3.0</v>
      </c>
      <c r="I65" s="9">
        <v>3.0</v>
      </c>
      <c r="J65" s="9">
        <v>3.0</v>
      </c>
      <c r="K65" s="9">
        <v>4.0</v>
      </c>
      <c r="L65" s="9">
        <v>3.0</v>
      </c>
      <c r="M65" s="9">
        <v>4.0</v>
      </c>
      <c r="N65" s="9">
        <v>4.0</v>
      </c>
      <c r="O65" s="9">
        <v>4.0</v>
      </c>
      <c r="P65" s="9">
        <v>5.0</v>
      </c>
      <c r="Q65" s="9" t="s">
        <v>77</v>
      </c>
    </row>
    <row r="66" ht="22.5" customHeight="1">
      <c r="A66" s="8">
        <v>46050.32053332176</v>
      </c>
      <c r="B66" s="9" t="s">
        <v>18</v>
      </c>
      <c r="C66" s="10">
        <v>46050.0</v>
      </c>
      <c r="D66" s="9" t="s">
        <v>19</v>
      </c>
      <c r="F66" s="9" t="s">
        <v>21</v>
      </c>
      <c r="G66" s="9" t="s">
        <v>26</v>
      </c>
      <c r="H66" s="9">
        <v>4.0</v>
      </c>
      <c r="I66" s="9">
        <v>4.0</v>
      </c>
      <c r="J66" s="9">
        <v>4.0</v>
      </c>
      <c r="K66" s="9">
        <v>4.0</v>
      </c>
      <c r="L66" s="9">
        <v>4.0</v>
      </c>
      <c r="M66" s="9">
        <v>4.0</v>
      </c>
      <c r="N66" s="9">
        <v>5.0</v>
      </c>
      <c r="O66" s="9">
        <v>5.0</v>
      </c>
      <c r="P66" s="9">
        <v>9.0</v>
      </c>
    </row>
    <row r="67" ht="22.5" customHeight="1">
      <c r="A67" s="8">
        <v>46050.32213076389</v>
      </c>
      <c r="B67" s="9" t="s">
        <v>18</v>
      </c>
      <c r="C67" s="10">
        <v>46050.0</v>
      </c>
      <c r="D67" s="9" t="s">
        <v>19</v>
      </c>
      <c r="F67" s="9" t="s">
        <v>25</v>
      </c>
      <c r="G67" s="9" t="s">
        <v>78</v>
      </c>
      <c r="H67" s="9">
        <v>3.0</v>
      </c>
      <c r="I67" s="9">
        <v>4.0</v>
      </c>
      <c r="J67" s="9">
        <v>4.0</v>
      </c>
      <c r="K67" s="9">
        <v>4.0</v>
      </c>
      <c r="L67" s="9">
        <v>4.0</v>
      </c>
      <c r="M67" s="9">
        <v>4.0</v>
      </c>
      <c r="N67" s="9">
        <v>4.0</v>
      </c>
      <c r="O67" s="9">
        <v>4.0</v>
      </c>
      <c r="P67" s="9">
        <v>10.0</v>
      </c>
    </row>
    <row r="68" ht="22.5" customHeight="1">
      <c r="A68" s="8">
        <v>46050.32642028935</v>
      </c>
      <c r="B68" s="9" t="s">
        <v>18</v>
      </c>
      <c r="C68" s="10">
        <v>46050.0</v>
      </c>
      <c r="D68" s="9" t="s">
        <v>19</v>
      </c>
      <c r="F68" s="9" t="s">
        <v>25</v>
      </c>
      <c r="G68" s="9" t="s">
        <v>26</v>
      </c>
      <c r="H68" s="9">
        <v>5.0</v>
      </c>
      <c r="I68" s="9">
        <v>5.0</v>
      </c>
      <c r="J68" s="9">
        <v>5.0</v>
      </c>
      <c r="K68" s="9">
        <v>3.0</v>
      </c>
      <c r="L68" s="9">
        <v>3.0</v>
      </c>
      <c r="M68" s="9">
        <v>4.0</v>
      </c>
      <c r="N68" s="9">
        <v>5.0</v>
      </c>
      <c r="O68" s="9">
        <v>4.0</v>
      </c>
      <c r="P68" s="9">
        <v>8.0</v>
      </c>
    </row>
    <row r="69" ht="22.5" customHeight="1">
      <c r="A69" s="8">
        <v>46050.3296359838</v>
      </c>
      <c r="B69" s="9" t="s">
        <v>18</v>
      </c>
      <c r="C69" s="10">
        <v>46050.0</v>
      </c>
      <c r="D69" s="9" t="s">
        <v>19</v>
      </c>
      <c r="F69" s="9" t="s">
        <v>21</v>
      </c>
      <c r="G69" s="9" t="s">
        <v>26</v>
      </c>
      <c r="H69" s="9">
        <v>4.0</v>
      </c>
      <c r="I69" s="9">
        <v>3.0</v>
      </c>
      <c r="J69" s="9">
        <v>2.0</v>
      </c>
      <c r="K69" s="9">
        <v>2.0</v>
      </c>
      <c r="L69" s="9">
        <v>2.0</v>
      </c>
      <c r="M69" s="9">
        <v>3.0</v>
      </c>
      <c r="N69" s="9">
        <v>3.0</v>
      </c>
      <c r="O69" s="9">
        <v>4.0</v>
      </c>
      <c r="P69" s="9">
        <v>8.0</v>
      </c>
    </row>
    <row r="70" ht="22.5" customHeight="1">
      <c r="A70" s="8">
        <v>46050.378118611115</v>
      </c>
      <c r="B70" s="9" t="s">
        <v>18</v>
      </c>
      <c r="C70" s="10">
        <v>46050.0</v>
      </c>
      <c r="D70" s="9" t="s">
        <v>19</v>
      </c>
      <c r="F70" s="9" t="s">
        <v>25</v>
      </c>
      <c r="G70" s="9" t="s">
        <v>26</v>
      </c>
      <c r="H70" s="9">
        <v>4.0</v>
      </c>
      <c r="I70" s="9">
        <v>4.0</v>
      </c>
      <c r="J70" s="9">
        <v>4.0</v>
      </c>
      <c r="K70" s="9">
        <v>4.0</v>
      </c>
      <c r="L70" s="9">
        <v>4.0</v>
      </c>
      <c r="M70" s="9">
        <v>4.0</v>
      </c>
      <c r="N70" s="9">
        <v>4.0</v>
      </c>
      <c r="O70" s="9">
        <v>4.0</v>
      </c>
      <c r="P70" s="9">
        <v>8.0</v>
      </c>
    </row>
    <row r="71" ht="22.5" customHeight="1">
      <c r="A71" s="8">
        <v>46050.3828263426</v>
      </c>
      <c r="B71" s="9" t="s">
        <v>18</v>
      </c>
      <c r="C71" s="10">
        <v>46050.0</v>
      </c>
      <c r="D71" s="9" t="s">
        <v>19</v>
      </c>
      <c r="F71" s="9" t="s">
        <v>25</v>
      </c>
      <c r="G71" s="9" t="s">
        <v>26</v>
      </c>
      <c r="H71" s="9">
        <v>3.0</v>
      </c>
      <c r="I71" s="9">
        <v>3.0</v>
      </c>
      <c r="J71" s="9">
        <v>3.0</v>
      </c>
      <c r="K71" s="9">
        <v>3.0</v>
      </c>
      <c r="L71" s="9">
        <v>3.0</v>
      </c>
      <c r="M71" s="9">
        <v>3.0</v>
      </c>
      <c r="N71" s="9">
        <v>3.0</v>
      </c>
      <c r="O71" s="9">
        <v>3.0</v>
      </c>
      <c r="P71" s="9">
        <v>8.0</v>
      </c>
    </row>
    <row r="72" ht="22.5" customHeight="1">
      <c r="A72" s="8">
        <v>46050.38381570602</v>
      </c>
      <c r="B72" s="9" t="s">
        <v>18</v>
      </c>
      <c r="C72" s="10">
        <v>46050.0</v>
      </c>
      <c r="D72" s="9" t="s">
        <v>19</v>
      </c>
      <c r="F72" s="9" t="s">
        <v>21</v>
      </c>
      <c r="G72" s="9" t="s">
        <v>22</v>
      </c>
      <c r="P72" s="9">
        <v>5.0</v>
      </c>
    </row>
    <row r="73" ht="22.5" customHeight="1">
      <c r="A73" s="8">
        <v>46050.43357125</v>
      </c>
      <c r="B73" s="9" t="s">
        <v>18</v>
      </c>
      <c r="C73" s="10">
        <v>46050.0</v>
      </c>
      <c r="D73" s="9" t="s">
        <v>19</v>
      </c>
      <c r="F73" s="9" t="s">
        <v>25</v>
      </c>
      <c r="G73" s="9" t="s">
        <v>26</v>
      </c>
      <c r="H73" s="9">
        <v>3.0</v>
      </c>
      <c r="I73" s="9">
        <v>5.0</v>
      </c>
      <c r="J73" s="9">
        <v>3.0</v>
      </c>
      <c r="K73" s="9">
        <v>5.0</v>
      </c>
      <c r="L73" s="9">
        <v>5.0</v>
      </c>
      <c r="M73" s="9">
        <v>5.0</v>
      </c>
      <c r="N73" s="9">
        <v>5.0</v>
      </c>
      <c r="O73" s="9">
        <v>5.0</v>
      </c>
      <c r="P73" s="9">
        <v>10.0</v>
      </c>
      <c r="Q73" s="9" t="s">
        <v>79</v>
      </c>
      <c r="R73" s="9" t="s">
        <v>47</v>
      </c>
    </row>
    <row r="74" ht="22.5" customHeight="1">
      <c r="A74" s="8">
        <v>46050.43705489583</v>
      </c>
      <c r="B74" s="9" t="s">
        <v>18</v>
      </c>
      <c r="C74" s="10">
        <v>46050.0</v>
      </c>
      <c r="D74" s="9" t="s">
        <v>19</v>
      </c>
      <c r="F74" s="9" t="s">
        <v>25</v>
      </c>
      <c r="G74" s="9" t="s">
        <v>26</v>
      </c>
      <c r="H74" s="9">
        <v>3.0</v>
      </c>
      <c r="I74" s="9">
        <v>3.0</v>
      </c>
      <c r="J74" s="9">
        <v>3.0</v>
      </c>
      <c r="K74" s="9">
        <v>5.0</v>
      </c>
      <c r="L74" s="9">
        <v>4.0</v>
      </c>
      <c r="M74" s="9">
        <v>3.0</v>
      </c>
      <c r="N74" s="9">
        <v>3.0</v>
      </c>
      <c r="O74" s="9">
        <v>3.0</v>
      </c>
      <c r="P74" s="9">
        <v>5.0</v>
      </c>
    </row>
    <row r="75" ht="22.5" customHeight="1">
      <c r="A75" s="8">
        <v>46050.43949224537</v>
      </c>
      <c r="B75" s="9" t="s">
        <v>18</v>
      </c>
      <c r="C75" s="10">
        <v>46050.0</v>
      </c>
      <c r="D75" s="9" t="s">
        <v>19</v>
      </c>
      <c r="E75" s="9" t="s">
        <v>80</v>
      </c>
      <c r="F75" s="9" t="s">
        <v>21</v>
      </c>
      <c r="G75" s="9" t="s">
        <v>22</v>
      </c>
      <c r="H75" s="9">
        <v>4.0</v>
      </c>
      <c r="I75" s="9">
        <v>3.0</v>
      </c>
      <c r="J75" s="9">
        <v>4.0</v>
      </c>
      <c r="K75" s="9">
        <v>3.0</v>
      </c>
      <c r="L75" s="9">
        <v>3.0</v>
      </c>
      <c r="M75" s="9">
        <v>4.0</v>
      </c>
      <c r="N75" s="9">
        <v>4.0</v>
      </c>
      <c r="O75" s="9">
        <v>4.0</v>
      </c>
      <c r="P75" s="9">
        <v>7.0</v>
      </c>
    </row>
    <row r="76" ht="22.5" customHeight="1">
      <c r="A76" s="8">
        <v>46050.441909201385</v>
      </c>
      <c r="B76" s="9" t="s">
        <v>18</v>
      </c>
      <c r="C76" s="10">
        <v>46050.0</v>
      </c>
      <c r="D76" s="9" t="s">
        <v>19</v>
      </c>
      <c r="E76" s="9" t="s">
        <v>81</v>
      </c>
      <c r="F76" s="9" t="s">
        <v>21</v>
      </c>
      <c r="G76" s="9" t="s">
        <v>26</v>
      </c>
      <c r="H76" s="9">
        <v>5.0</v>
      </c>
      <c r="I76" s="9">
        <v>5.0</v>
      </c>
      <c r="J76" s="9">
        <v>5.0</v>
      </c>
      <c r="K76" s="9">
        <v>5.0</v>
      </c>
      <c r="L76" s="9">
        <v>5.0</v>
      </c>
      <c r="M76" s="9">
        <v>5.0</v>
      </c>
      <c r="N76" s="9">
        <v>5.0</v>
      </c>
      <c r="O76" s="9">
        <v>5.0</v>
      </c>
      <c r="P76" s="9">
        <v>10.0</v>
      </c>
    </row>
    <row r="77" ht="22.5" customHeight="1">
      <c r="A77" s="8">
        <v>46050.44712972222</v>
      </c>
      <c r="B77" s="9" t="s">
        <v>18</v>
      </c>
      <c r="C77" s="10">
        <v>46050.0</v>
      </c>
      <c r="D77" s="9" t="s">
        <v>19</v>
      </c>
      <c r="F77" s="9" t="s">
        <v>21</v>
      </c>
      <c r="G77" s="9" t="s">
        <v>82</v>
      </c>
      <c r="H77" s="9">
        <v>5.0</v>
      </c>
      <c r="I77" s="9">
        <v>5.0</v>
      </c>
      <c r="J77" s="9">
        <v>5.0</v>
      </c>
      <c r="K77" s="9">
        <v>5.0</v>
      </c>
      <c r="L77" s="9">
        <v>5.0</v>
      </c>
      <c r="M77" s="9">
        <v>5.0</v>
      </c>
      <c r="N77" s="9">
        <v>5.0</v>
      </c>
      <c r="O77" s="9">
        <v>5.0</v>
      </c>
      <c r="P77" s="9">
        <v>10.0</v>
      </c>
    </row>
    <row r="78" ht="22.5" customHeight="1">
      <c r="A78" s="8">
        <v>46050.44834616898</v>
      </c>
      <c r="B78" s="9" t="s">
        <v>18</v>
      </c>
      <c r="C78" s="10">
        <v>46050.0</v>
      </c>
      <c r="D78" s="9" t="s">
        <v>19</v>
      </c>
      <c r="F78" s="9" t="s">
        <v>21</v>
      </c>
      <c r="G78" s="9" t="s">
        <v>26</v>
      </c>
      <c r="P78" s="9">
        <v>3.0</v>
      </c>
    </row>
    <row r="79" ht="22.5" customHeight="1">
      <c r="A79" s="8">
        <v>46050.44835640046</v>
      </c>
      <c r="B79" s="9" t="s">
        <v>18</v>
      </c>
      <c r="C79" s="10">
        <v>46050.0</v>
      </c>
      <c r="D79" s="9" t="s">
        <v>19</v>
      </c>
      <c r="F79" s="9" t="s">
        <v>48</v>
      </c>
      <c r="G79" s="9" t="s">
        <v>26</v>
      </c>
      <c r="H79" s="9">
        <v>5.0</v>
      </c>
      <c r="I79" s="9">
        <v>5.0</v>
      </c>
      <c r="J79" s="9">
        <v>5.0</v>
      </c>
      <c r="K79" s="9">
        <v>5.0</v>
      </c>
      <c r="L79" s="9">
        <v>5.0</v>
      </c>
      <c r="M79" s="9">
        <v>5.0</v>
      </c>
      <c r="N79" s="9">
        <v>5.0</v>
      </c>
      <c r="O79" s="9">
        <v>5.0</v>
      </c>
      <c r="P79" s="9">
        <v>10.0</v>
      </c>
    </row>
    <row r="80" ht="22.5" customHeight="1">
      <c r="A80" s="8">
        <v>46050.44888657407</v>
      </c>
      <c r="B80" s="9" t="s">
        <v>18</v>
      </c>
      <c r="C80" s="10">
        <v>46050.0</v>
      </c>
      <c r="D80" s="9" t="s">
        <v>19</v>
      </c>
      <c r="E80" s="9" t="s">
        <v>83</v>
      </c>
      <c r="F80" s="9" t="s">
        <v>21</v>
      </c>
      <c r="G80" s="9" t="s">
        <v>22</v>
      </c>
      <c r="H80" s="9">
        <v>3.0</v>
      </c>
      <c r="I80" s="9">
        <v>3.0</v>
      </c>
      <c r="J80" s="9">
        <v>4.0</v>
      </c>
      <c r="K80" s="9">
        <v>3.0</v>
      </c>
      <c r="L80" s="9">
        <v>3.0</v>
      </c>
      <c r="M80" s="9">
        <v>4.0</v>
      </c>
      <c r="N80" s="9">
        <v>3.0</v>
      </c>
      <c r="O80" s="9">
        <v>3.0</v>
      </c>
      <c r="P80" s="9">
        <v>8.0</v>
      </c>
      <c r="Q80" s="9" t="s">
        <v>84</v>
      </c>
      <c r="R80" s="9" t="s">
        <v>85</v>
      </c>
    </row>
    <row r="81" ht="22.5" customHeight="1">
      <c r="A81" s="8">
        <v>46050.449028020834</v>
      </c>
      <c r="B81" s="9" t="s">
        <v>18</v>
      </c>
      <c r="C81" s="10">
        <v>46050.0</v>
      </c>
      <c r="D81" s="9" t="s">
        <v>19</v>
      </c>
      <c r="F81" s="9" t="s">
        <v>21</v>
      </c>
      <c r="G81" s="9" t="s">
        <v>22</v>
      </c>
      <c r="P81" s="9">
        <v>3.0</v>
      </c>
    </row>
    <row r="82" ht="22.5" customHeight="1">
      <c r="A82" s="8">
        <v>46050.44931700232</v>
      </c>
      <c r="B82" s="9" t="s">
        <v>18</v>
      </c>
      <c r="C82" s="10">
        <v>40075.0</v>
      </c>
      <c r="D82" s="9" t="s">
        <v>19</v>
      </c>
      <c r="F82" s="9" t="s">
        <v>25</v>
      </c>
      <c r="G82" s="9" t="s">
        <v>26</v>
      </c>
      <c r="H82" s="9">
        <v>5.0</v>
      </c>
      <c r="I82" s="9">
        <v>5.0</v>
      </c>
      <c r="J82" s="9">
        <v>5.0</v>
      </c>
      <c r="K82" s="9">
        <v>5.0</v>
      </c>
      <c r="L82" s="9">
        <v>5.0</v>
      </c>
      <c r="M82" s="9">
        <v>5.0</v>
      </c>
      <c r="N82" s="9">
        <v>5.0</v>
      </c>
      <c r="O82" s="9">
        <v>5.0</v>
      </c>
      <c r="P82" s="9">
        <v>10.0</v>
      </c>
    </row>
    <row r="83" ht="22.5" customHeight="1">
      <c r="A83" s="8">
        <v>46050.449461979166</v>
      </c>
      <c r="B83" s="9" t="s">
        <v>18</v>
      </c>
      <c r="C83" s="10">
        <v>46050.0</v>
      </c>
      <c r="D83" s="9" t="s">
        <v>19</v>
      </c>
      <c r="E83" s="9" t="s">
        <v>86</v>
      </c>
      <c r="F83" s="9" t="s">
        <v>25</v>
      </c>
      <c r="G83" s="9" t="s">
        <v>26</v>
      </c>
      <c r="H83" s="9">
        <v>4.0</v>
      </c>
      <c r="I83" s="9">
        <v>3.0</v>
      </c>
      <c r="J83" s="9">
        <v>4.0</v>
      </c>
      <c r="K83" s="9">
        <v>4.0</v>
      </c>
      <c r="L83" s="9">
        <v>3.0</v>
      </c>
      <c r="M83" s="9">
        <v>3.0</v>
      </c>
      <c r="N83" s="9">
        <v>4.0</v>
      </c>
      <c r="O83" s="9">
        <v>4.0</v>
      </c>
      <c r="P83" s="9">
        <v>8.0</v>
      </c>
    </row>
    <row r="84" ht="22.5" customHeight="1">
      <c r="A84" s="8">
        <v>46050.45011130787</v>
      </c>
      <c r="B84" s="9" t="s">
        <v>18</v>
      </c>
      <c r="C84" s="10">
        <v>46050.0</v>
      </c>
      <c r="D84" s="9" t="s">
        <v>19</v>
      </c>
      <c r="E84" s="9" t="s">
        <v>86</v>
      </c>
      <c r="F84" s="9" t="s">
        <v>25</v>
      </c>
      <c r="G84" s="9" t="s">
        <v>26</v>
      </c>
      <c r="H84" s="9">
        <v>4.0</v>
      </c>
      <c r="I84" s="9">
        <v>4.0</v>
      </c>
      <c r="J84" s="9">
        <v>4.0</v>
      </c>
      <c r="K84" s="9">
        <v>4.0</v>
      </c>
      <c r="L84" s="9">
        <v>3.0</v>
      </c>
      <c r="M84" s="9">
        <v>4.0</v>
      </c>
      <c r="N84" s="9">
        <v>4.0</v>
      </c>
      <c r="O84" s="9">
        <v>4.0</v>
      </c>
      <c r="P84" s="9">
        <v>8.0</v>
      </c>
    </row>
    <row r="85" ht="22.5" customHeight="1">
      <c r="A85" s="8">
        <v>46050.45087202547</v>
      </c>
      <c r="B85" s="9" t="s">
        <v>18</v>
      </c>
      <c r="C85" s="10">
        <v>46050.0</v>
      </c>
      <c r="D85" s="9" t="s">
        <v>19</v>
      </c>
      <c r="E85" s="9" t="s">
        <v>19</v>
      </c>
      <c r="F85" s="9" t="s">
        <v>21</v>
      </c>
      <c r="G85" s="9" t="s">
        <v>30</v>
      </c>
      <c r="H85" s="9">
        <v>3.0</v>
      </c>
      <c r="I85" s="9">
        <v>3.0</v>
      </c>
      <c r="J85" s="9">
        <v>3.0</v>
      </c>
      <c r="K85" s="9">
        <v>3.0</v>
      </c>
      <c r="L85" s="9">
        <v>3.0</v>
      </c>
      <c r="M85" s="9">
        <v>3.0</v>
      </c>
      <c r="N85" s="9">
        <v>3.0</v>
      </c>
      <c r="O85" s="9">
        <v>3.0</v>
      </c>
      <c r="P85" s="9">
        <v>7.0</v>
      </c>
      <c r="Q85" s="9" t="s">
        <v>87</v>
      </c>
      <c r="R85" s="9" t="s">
        <v>88</v>
      </c>
    </row>
    <row r="86" ht="22.5" customHeight="1">
      <c r="A86" s="8">
        <v>46050.45219299768</v>
      </c>
      <c r="B86" s="9" t="s">
        <v>18</v>
      </c>
      <c r="C86" s="10">
        <v>46050.0</v>
      </c>
      <c r="D86" s="9" t="s">
        <v>19</v>
      </c>
      <c r="F86" s="9" t="s">
        <v>25</v>
      </c>
      <c r="G86" s="9" t="s">
        <v>30</v>
      </c>
      <c r="H86" s="9">
        <v>4.0</v>
      </c>
      <c r="I86" s="9">
        <v>4.0</v>
      </c>
      <c r="J86" s="9">
        <v>4.0</v>
      </c>
      <c r="K86" s="9">
        <v>4.0</v>
      </c>
      <c r="L86" s="9">
        <v>5.0</v>
      </c>
      <c r="M86" s="9">
        <v>4.0</v>
      </c>
      <c r="N86" s="9">
        <v>5.0</v>
      </c>
      <c r="O86" s="9">
        <v>4.0</v>
      </c>
      <c r="P86" s="9">
        <v>8.0</v>
      </c>
    </row>
    <row r="87" ht="22.5" customHeight="1">
      <c r="A87" s="8">
        <v>46050.45298239583</v>
      </c>
      <c r="B87" s="9" t="s">
        <v>18</v>
      </c>
      <c r="C87" s="10">
        <v>46050.0</v>
      </c>
      <c r="D87" s="9" t="s">
        <v>19</v>
      </c>
      <c r="F87" s="9" t="s">
        <v>25</v>
      </c>
      <c r="G87" s="9" t="s">
        <v>26</v>
      </c>
      <c r="H87" s="9">
        <v>3.0</v>
      </c>
      <c r="I87" s="9">
        <v>3.0</v>
      </c>
      <c r="J87" s="9">
        <v>4.0</v>
      </c>
      <c r="K87" s="9">
        <v>3.0</v>
      </c>
      <c r="L87" s="9">
        <v>4.0</v>
      </c>
      <c r="M87" s="9">
        <v>4.0</v>
      </c>
      <c r="N87" s="9">
        <v>3.0</v>
      </c>
      <c r="O87" s="9">
        <v>3.0</v>
      </c>
      <c r="P87" s="9">
        <v>7.0</v>
      </c>
    </row>
    <row r="88" ht="22.5" customHeight="1">
      <c r="A88" s="8">
        <v>46050.45306738426</v>
      </c>
      <c r="B88" s="9" t="s">
        <v>18</v>
      </c>
      <c r="C88" s="10">
        <v>46050.0</v>
      </c>
      <c r="D88" s="9" t="s">
        <v>19</v>
      </c>
      <c r="E88" s="9" t="s">
        <v>89</v>
      </c>
      <c r="F88" s="9" t="s">
        <v>21</v>
      </c>
      <c r="G88" s="9" t="s">
        <v>30</v>
      </c>
      <c r="H88" s="9">
        <v>4.0</v>
      </c>
      <c r="I88" s="9">
        <v>4.0</v>
      </c>
      <c r="J88" s="9">
        <v>5.0</v>
      </c>
      <c r="K88" s="9">
        <v>5.0</v>
      </c>
      <c r="L88" s="9">
        <v>3.0</v>
      </c>
      <c r="M88" s="9">
        <v>5.0</v>
      </c>
      <c r="N88" s="9">
        <v>4.0</v>
      </c>
      <c r="O88" s="9">
        <v>4.0</v>
      </c>
      <c r="P88" s="9">
        <v>9.0</v>
      </c>
      <c r="Q88" s="9" t="s">
        <v>90</v>
      </c>
      <c r="R88" s="9" t="s">
        <v>91</v>
      </c>
    </row>
    <row r="89" ht="22.5" customHeight="1">
      <c r="A89" s="8">
        <v>46050.45324481482</v>
      </c>
      <c r="B89" s="9" t="s">
        <v>18</v>
      </c>
      <c r="C89" s="10">
        <v>46050.0</v>
      </c>
      <c r="D89" s="9" t="s">
        <v>19</v>
      </c>
      <c r="E89" s="9" t="s">
        <v>83</v>
      </c>
      <c r="F89" s="9" t="s">
        <v>21</v>
      </c>
      <c r="G89" s="9" t="s">
        <v>22</v>
      </c>
      <c r="H89" s="9">
        <v>4.0</v>
      </c>
      <c r="I89" s="9">
        <v>3.0</v>
      </c>
      <c r="J89" s="9">
        <v>4.0</v>
      </c>
      <c r="K89" s="9">
        <v>3.0</v>
      </c>
      <c r="L89" s="9">
        <v>3.0</v>
      </c>
      <c r="M89" s="9">
        <v>3.0</v>
      </c>
      <c r="N89" s="9">
        <v>3.0</v>
      </c>
      <c r="O89" s="9">
        <v>4.0</v>
      </c>
      <c r="P89" s="9">
        <v>8.0</v>
      </c>
    </row>
    <row r="90" ht="22.5" customHeight="1">
      <c r="A90" s="8">
        <v>46050.453949456016</v>
      </c>
      <c r="B90" s="9" t="s">
        <v>18</v>
      </c>
      <c r="C90" s="10">
        <v>46050.0</v>
      </c>
      <c r="D90" s="9" t="s">
        <v>19</v>
      </c>
      <c r="E90" s="9" t="s">
        <v>92</v>
      </c>
      <c r="F90" s="9" t="s">
        <v>25</v>
      </c>
      <c r="G90" s="9" t="s">
        <v>26</v>
      </c>
      <c r="H90" s="9">
        <v>3.0</v>
      </c>
      <c r="I90" s="9">
        <v>3.0</v>
      </c>
      <c r="J90" s="9">
        <v>3.0</v>
      </c>
      <c r="K90" s="9">
        <v>3.0</v>
      </c>
      <c r="L90" s="9">
        <v>4.0</v>
      </c>
      <c r="M90" s="9">
        <v>3.0</v>
      </c>
      <c r="N90" s="9">
        <v>3.0</v>
      </c>
      <c r="P90" s="9">
        <v>8.0</v>
      </c>
    </row>
    <row r="91" ht="22.5" customHeight="1">
      <c r="A91" s="8">
        <v>46050.455074178244</v>
      </c>
      <c r="B91" s="9" t="s">
        <v>18</v>
      </c>
      <c r="C91" s="10">
        <v>46050.0</v>
      </c>
      <c r="D91" s="9" t="s">
        <v>19</v>
      </c>
      <c r="F91" s="9" t="s">
        <v>21</v>
      </c>
      <c r="G91" s="9" t="s">
        <v>26</v>
      </c>
      <c r="H91" s="9">
        <v>5.0</v>
      </c>
      <c r="I91" s="9">
        <v>5.0</v>
      </c>
      <c r="K91" s="9">
        <v>5.0</v>
      </c>
      <c r="L91" s="9">
        <v>5.0</v>
      </c>
      <c r="M91" s="9">
        <v>5.0</v>
      </c>
      <c r="N91" s="9">
        <v>5.0</v>
      </c>
      <c r="O91" s="9">
        <v>5.0</v>
      </c>
      <c r="P91" s="9">
        <v>10.0</v>
      </c>
    </row>
    <row r="92" ht="22.5" customHeight="1">
      <c r="A92" s="8">
        <v>46050.45609813658</v>
      </c>
      <c r="B92" s="9" t="s">
        <v>18</v>
      </c>
      <c r="C92" s="10">
        <v>45685.0</v>
      </c>
      <c r="D92" s="9" t="s">
        <v>19</v>
      </c>
      <c r="F92" s="9" t="s">
        <v>21</v>
      </c>
      <c r="G92" s="9" t="s">
        <v>82</v>
      </c>
      <c r="H92" s="9">
        <v>4.0</v>
      </c>
      <c r="I92" s="9">
        <v>4.0</v>
      </c>
      <c r="J92" s="9">
        <v>4.0</v>
      </c>
      <c r="K92" s="9">
        <v>4.0</v>
      </c>
      <c r="L92" s="9">
        <v>4.0</v>
      </c>
      <c r="M92" s="9">
        <v>4.0</v>
      </c>
      <c r="N92" s="9">
        <v>4.0</v>
      </c>
      <c r="O92" s="9">
        <v>4.0</v>
      </c>
      <c r="P92" s="9">
        <v>8.0</v>
      </c>
    </row>
    <row r="93" ht="22.5" customHeight="1">
      <c r="A93" s="8">
        <v>46050.45630528935</v>
      </c>
      <c r="B93" s="9" t="s">
        <v>18</v>
      </c>
      <c r="C93" s="10" t="s">
        <v>74</v>
      </c>
      <c r="D93" s="9" t="s">
        <v>19</v>
      </c>
      <c r="F93" s="9" t="s">
        <v>21</v>
      </c>
      <c r="G93" s="9" t="s">
        <v>22</v>
      </c>
      <c r="H93" s="9">
        <v>3.0</v>
      </c>
      <c r="I93" s="9">
        <v>5.0</v>
      </c>
      <c r="J93" s="9">
        <v>4.0</v>
      </c>
      <c r="K93" s="9">
        <v>5.0</v>
      </c>
      <c r="L93" s="9">
        <v>5.0</v>
      </c>
      <c r="M93" s="9">
        <v>2.0</v>
      </c>
      <c r="N93" s="9">
        <v>3.0</v>
      </c>
      <c r="O93" s="9">
        <v>3.0</v>
      </c>
      <c r="P93" s="9">
        <v>7.0</v>
      </c>
    </row>
    <row r="94" ht="22.5" customHeight="1">
      <c r="A94" s="8">
        <v>46050.456385717596</v>
      </c>
      <c r="B94" s="9" t="s">
        <v>18</v>
      </c>
      <c r="C94" s="10">
        <v>46050.0</v>
      </c>
      <c r="D94" s="9" t="s">
        <v>19</v>
      </c>
      <c r="F94" s="9" t="s">
        <v>21</v>
      </c>
      <c r="G94" s="9" t="s">
        <v>30</v>
      </c>
      <c r="H94" s="9">
        <v>3.0</v>
      </c>
      <c r="I94" s="9">
        <v>3.0</v>
      </c>
      <c r="J94" s="9">
        <v>3.0</v>
      </c>
      <c r="K94" s="9">
        <v>3.0</v>
      </c>
      <c r="L94" s="9">
        <v>3.0</v>
      </c>
      <c r="M94" s="9">
        <v>3.0</v>
      </c>
      <c r="N94" s="9">
        <v>3.0</v>
      </c>
      <c r="O94" s="9">
        <v>3.0</v>
      </c>
      <c r="P94" s="9">
        <v>10.0</v>
      </c>
    </row>
    <row r="95" ht="22.5" customHeight="1">
      <c r="A95" s="8">
        <v>46050.45831890046</v>
      </c>
      <c r="B95" s="9" t="s">
        <v>18</v>
      </c>
      <c r="C95" s="10">
        <v>46050.0</v>
      </c>
      <c r="D95" s="9" t="s">
        <v>19</v>
      </c>
      <c r="E95" s="9" t="s">
        <v>92</v>
      </c>
      <c r="F95" s="9" t="s">
        <v>25</v>
      </c>
      <c r="G95" s="9" t="s">
        <v>26</v>
      </c>
      <c r="H95" s="9">
        <v>5.0</v>
      </c>
      <c r="I95" s="9">
        <v>5.0</v>
      </c>
      <c r="J95" s="9">
        <v>5.0</v>
      </c>
      <c r="K95" s="9">
        <v>5.0</v>
      </c>
      <c r="L95" s="9">
        <v>5.0</v>
      </c>
      <c r="M95" s="9">
        <v>5.0</v>
      </c>
      <c r="N95" s="9">
        <v>5.0</v>
      </c>
      <c r="O95" s="9">
        <v>5.0</v>
      </c>
      <c r="P95" s="9">
        <v>10.0</v>
      </c>
    </row>
    <row r="96" ht="22.5" customHeight="1">
      <c r="A96" s="8">
        <v>46050.460724386576</v>
      </c>
      <c r="B96" s="9" t="s">
        <v>18</v>
      </c>
      <c r="C96" s="10">
        <v>46050.0</v>
      </c>
      <c r="D96" s="9" t="s">
        <v>19</v>
      </c>
      <c r="F96" s="9" t="s">
        <v>21</v>
      </c>
      <c r="G96" s="9" t="s">
        <v>26</v>
      </c>
      <c r="H96" s="9">
        <v>5.0</v>
      </c>
      <c r="I96" s="9">
        <v>4.0</v>
      </c>
      <c r="J96" s="9">
        <v>4.0</v>
      </c>
      <c r="K96" s="9">
        <v>5.0</v>
      </c>
      <c r="L96" s="9">
        <v>4.0</v>
      </c>
      <c r="M96" s="9">
        <v>5.0</v>
      </c>
      <c r="N96" s="9">
        <v>5.0</v>
      </c>
      <c r="O96" s="9">
        <v>4.0</v>
      </c>
      <c r="P96" s="9">
        <v>8.0</v>
      </c>
      <c r="Q96" s="9" t="s">
        <v>93</v>
      </c>
    </row>
    <row r="97" ht="22.5" customHeight="1">
      <c r="A97" s="8">
        <v>46050.462448125</v>
      </c>
      <c r="B97" s="9" t="s">
        <v>18</v>
      </c>
      <c r="C97" s="10">
        <v>46050.0</v>
      </c>
      <c r="D97" s="9" t="s">
        <v>19</v>
      </c>
      <c r="F97" s="9" t="s">
        <v>21</v>
      </c>
      <c r="G97" s="9" t="s">
        <v>26</v>
      </c>
      <c r="P97" s="9">
        <v>1.0</v>
      </c>
    </row>
    <row r="98" ht="22.5" customHeight="1">
      <c r="A98" s="8">
        <v>46050.464330613424</v>
      </c>
      <c r="B98" s="9" t="s">
        <v>18</v>
      </c>
      <c r="C98" s="10">
        <v>46050.0</v>
      </c>
      <c r="D98" s="9" t="s">
        <v>19</v>
      </c>
      <c r="F98" s="9" t="s">
        <v>21</v>
      </c>
      <c r="G98" s="9" t="s">
        <v>26</v>
      </c>
      <c r="H98" s="9">
        <v>4.0</v>
      </c>
      <c r="I98" s="9">
        <v>5.0</v>
      </c>
      <c r="J98" s="9">
        <v>4.0</v>
      </c>
      <c r="K98" s="9">
        <v>5.0</v>
      </c>
      <c r="L98" s="9">
        <v>5.0</v>
      </c>
      <c r="M98" s="9">
        <v>4.0</v>
      </c>
      <c r="N98" s="9">
        <v>5.0</v>
      </c>
      <c r="O98" s="9">
        <v>5.0</v>
      </c>
      <c r="P98" s="9">
        <v>10.0</v>
      </c>
      <c r="Q98" s="9" t="s">
        <v>79</v>
      </c>
      <c r="R98" s="9" t="s">
        <v>47</v>
      </c>
    </row>
    <row r="99" ht="22.5" customHeight="1">
      <c r="A99" s="8">
        <v>46050.468207384256</v>
      </c>
      <c r="B99" s="9" t="s">
        <v>18</v>
      </c>
      <c r="C99" s="10">
        <v>46050.0</v>
      </c>
      <c r="D99" s="9" t="s">
        <v>19</v>
      </c>
      <c r="F99" s="9" t="s">
        <v>25</v>
      </c>
      <c r="G99" s="9" t="s">
        <v>26</v>
      </c>
      <c r="H99" s="9">
        <v>4.0</v>
      </c>
      <c r="I99" s="9">
        <v>4.0</v>
      </c>
      <c r="J99" s="9">
        <v>4.0</v>
      </c>
      <c r="K99" s="9">
        <v>4.0</v>
      </c>
      <c r="L99" s="9">
        <v>4.0</v>
      </c>
      <c r="M99" s="9">
        <v>4.0</v>
      </c>
      <c r="N99" s="9">
        <v>4.0</v>
      </c>
      <c r="O99" s="9">
        <v>4.0</v>
      </c>
      <c r="P99" s="9">
        <v>7.0</v>
      </c>
    </row>
    <row r="100" ht="22.5" customHeight="1">
      <c r="A100" s="8">
        <v>46050.46978478009</v>
      </c>
      <c r="B100" s="9" t="s">
        <v>18</v>
      </c>
      <c r="C100" s="10">
        <v>46050.0</v>
      </c>
      <c r="D100" s="9" t="s">
        <v>19</v>
      </c>
      <c r="E100" s="9" t="s">
        <v>80</v>
      </c>
      <c r="F100" s="9" t="s">
        <v>21</v>
      </c>
      <c r="G100" s="9" t="s">
        <v>22</v>
      </c>
      <c r="H100" s="9">
        <v>4.0</v>
      </c>
      <c r="I100" s="9">
        <v>3.0</v>
      </c>
      <c r="J100" s="9">
        <v>4.0</v>
      </c>
      <c r="K100" s="9">
        <v>3.0</v>
      </c>
      <c r="L100" s="9">
        <v>4.0</v>
      </c>
      <c r="M100" s="9">
        <v>4.0</v>
      </c>
      <c r="N100" s="9">
        <v>3.0</v>
      </c>
      <c r="O100" s="9">
        <v>4.0</v>
      </c>
      <c r="P100" s="9">
        <v>7.0</v>
      </c>
    </row>
    <row r="101" ht="22.5" customHeight="1">
      <c r="A101" s="8">
        <v>46050.47923527777</v>
      </c>
      <c r="B101" s="9" t="s">
        <v>18</v>
      </c>
      <c r="C101" s="10">
        <v>46050.0</v>
      </c>
      <c r="D101" s="9" t="s">
        <v>19</v>
      </c>
      <c r="E101" s="9" t="s">
        <v>86</v>
      </c>
      <c r="F101" s="9" t="s">
        <v>25</v>
      </c>
      <c r="G101" s="9" t="s">
        <v>30</v>
      </c>
      <c r="H101" s="9">
        <v>3.0</v>
      </c>
      <c r="I101" s="9">
        <v>3.0</v>
      </c>
      <c r="J101" s="9">
        <v>4.0</v>
      </c>
      <c r="K101" s="9">
        <v>3.0</v>
      </c>
      <c r="L101" s="9">
        <v>3.0</v>
      </c>
      <c r="M101" s="9">
        <v>4.0</v>
      </c>
      <c r="N101" s="9">
        <v>4.0</v>
      </c>
      <c r="O101" s="9">
        <v>3.0</v>
      </c>
      <c r="P101" s="9">
        <v>7.0</v>
      </c>
      <c r="Q101" s="9" t="s">
        <v>94</v>
      </c>
      <c r="R101" s="9" t="s">
        <v>94</v>
      </c>
    </row>
    <row r="102" ht="22.5" customHeight="1">
      <c r="A102" s="8">
        <v>46050.486668136575</v>
      </c>
      <c r="B102" s="9" t="s">
        <v>18</v>
      </c>
      <c r="C102" s="10">
        <v>46050.0</v>
      </c>
      <c r="D102" s="9" t="s">
        <v>19</v>
      </c>
      <c r="F102" s="9" t="s">
        <v>25</v>
      </c>
      <c r="G102" s="9" t="s">
        <v>30</v>
      </c>
      <c r="H102" s="9">
        <v>5.0</v>
      </c>
      <c r="I102" s="9">
        <v>5.0</v>
      </c>
      <c r="J102" s="9">
        <v>5.0</v>
      </c>
      <c r="K102" s="9">
        <v>5.0</v>
      </c>
      <c r="L102" s="9">
        <v>5.0</v>
      </c>
      <c r="M102" s="9">
        <v>5.0</v>
      </c>
      <c r="N102" s="9">
        <v>5.0</v>
      </c>
      <c r="O102" s="9">
        <v>5.0</v>
      </c>
      <c r="P102" s="9">
        <v>10.0</v>
      </c>
      <c r="Q102" s="9" t="s">
        <v>47</v>
      </c>
      <c r="R102" s="9" t="s">
        <v>47</v>
      </c>
    </row>
    <row r="103" ht="22.5" customHeight="1">
      <c r="A103" s="8">
        <v>46050.58030158565</v>
      </c>
      <c r="B103" s="9" t="s">
        <v>18</v>
      </c>
      <c r="C103" s="10">
        <v>46050.0</v>
      </c>
      <c r="D103" s="9" t="s">
        <v>19</v>
      </c>
      <c r="E103" s="9" t="s">
        <v>83</v>
      </c>
      <c r="F103" s="9" t="s">
        <v>25</v>
      </c>
      <c r="G103" s="9" t="s">
        <v>26</v>
      </c>
      <c r="H103" s="9">
        <v>3.0</v>
      </c>
      <c r="I103" s="9">
        <v>3.0</v>
      </c>
      <c r="J103" s="9">
        <v>5.0</v>
      </c>
      <c r="K103" s="9">
        <v>1.0</v>
      </c>
      <c r="L103" s="9">
        <v>4.0</v>
      </c>
      <c r="M103" s="9">
        <v>3.0</v>
      </c>
      <c r="N103" s="9">
        <v>4.0</v>
      </c>
      <c r="O103" s="9">
        <v>4.0</v>
      </c>
      <c r="P103" s="9">
        <v>7.0</v>
      </c>
    </row>
    <row r="104" ht="22.5" customHeight="1">
      <c r="A104" s="8">
        <v>46050.78885841435</v>
      </c>
      <c r="B104" s="9" t="s">
        <v>18</v>
      </c>
      <c r="C104" s="10">
        <v>46050.0</v>
      </c>
      <c r="D104" s="9" t="s">
        <v>19</v>
      </c>
      <c r="F104" s="9" t="s">
        <v>25</v>
      </c>
      <c r="G104" s="9" t="s">
        <v>30</v>
      </c>
      <c r="H104" s="9">
        <v>4.0</v>
      </c>
      <c r="I104" s="9">
        <v>4.0</v>
      </c>
      <c r="J104" s="9">
        <v>3.0</v>
      </c>
      <c r="K104" s="9">
        <v>4.0</v>
      </c>
      <c r="L104" s="9">
        <v>3.0</v>
      </c>
      <c r="M104" s="9">
        <v>4.0</v>
      </c>
      <c r="N104" s="9">
        <v>4.0</v>
      </c>
      <c r="O104" s="9">
        <v>4.0</v>
      </c>
      <c r="P104" s="9">
        <v>8.0</v>
      </c>
      <c r="Q104" s="9" t="s">
        <v>79</v>
      </c>
    </row>
    <row r="105" ht="22.5" customHeight="1">
      <c r="A105" s="8">
        <v>46050.81894946759</v>
      </c>
      <c r="B105" s="9" t="s">
        <v>18</v>
      </c>
      <c r="C105" s="10">
        <v>46050.0</v>
      </c>
      <c r="D105" s="9" t="s">
        <v>19</v>
      </c>
      <c r="E105" s="9" t="s">
        <v>83</v>
      </c>
      <c r="F105" s="9" t="s">
        <v>25</v>
      </c>
      <c r="G105" s="9" t="s">
        <v>26</v>
      </c>
      <c r="H105" s="9">
        <v>3.0</v>
      </c>
      <c r="I105" s="9">
        <v>4.0</v>
      </c>
      <c r="J105" s="9">
        <v>2.0</v>
      </c>
      <c r="K105" s="9">
        <v>3.0</v>
      </c>
      <c r="L105" s="9">
        <v>2.0</v>
      </c>
      <c r="M105" s="9">
        <v>3.0</v>
      </c>
      <c r="N105" s="9">
        <v>3.0</v>
      </c>
      <c r="O105" s="9">
        <v>4.0</v>
      </c>
      <c r="P105" s="9">
        <v>8.0</v>
      </c>
    </row>
    <row r="106" ht="22.5" customHeight="1">
      <c r="A106" s="8">
        <v>46050.82305810185</v>
      </c>
      <c r="B106" s="9" t="s">
        <v>18</v>
      </c>
      <c r="C106" s="10">
        <v>46050.0</v>
      </c>
      <c r="D106" s="9" t="s">
        <v>19</v>
      </c>
      <c r="E106" s="9" t="s">
        <v>95</v>
      </c>
      <c r="F106" s="9" t="s">
        <v>21</v>
      </c>
      <c r="G106" s="9" t="s">
        <v>26</v>
      </c>
      <c r="H106" s="9">
        <v>3.0</v>
      </c>
      <c r="I106" s="9">
        <v>3.0</v>
      </c>
      <c r="J106" s="9">
        <v>3.0</v>
      </c>
      <c r="K106" s="9">
        <v>3.0</v>
      </c>
      <c r="L106" s="9">
        <v>3.0</v>
      </c>
      <c r="M106" s="9">
        <v>3.0</v>
      </c>
      <c r="N106" s="9">
        <v>3.0</v>
      </c>
      <c r="O106" s="9">
        <v>3.0</v>
      </c>
      <c r="P106" s="9">
        <v>6.0</v>
      </c>
    </row>
    <row r="107" ht="22.5" customHeight="1">
      <c r="A107" s="8">
        <v>46050.82445115741</v>
      </c>
      <c r="B107" s="9" t="s">
        <v>18</v>
      </c>
      <c r="C107" s="10">
        <v>46050.0</v>
      </c>
      <c r="D107" s="9" t="s">
        <v>19</v>
      </c>
      <c r="F107" s="9" t="s">
        <v>21</v>
      </c>
      <c r="G107" s="9" t="s">
        <v>26</v>
      </c>
      <c r="H107" s="9">
        <v>5.0</v>
      </c>
      <c r="I107" s="9">
        <v>5.0</v>
      </c>
      <c r="J107" s="9">
        <v>5.0</v>
      </c>
      <c r="K107" s="9">
        <v>5.0</v>
      </c>
      <c r="L107" s="9">
        <v>4.0</v>
      </c>
      <c r="M107" s="9">
        <v>5.0</v>
      </c>
      <c r="N107" s="9">
        <v>5.0</v>
      </c>
      <c r="O107" s="9">
        <v>5.0</v>
      </c>
      <c r="P107" s="9">
        <v>9.0</v>
      </c>
    </row>
    <row r="108" ht="22.5" customHeight="1">
      <c r="A108" s="8">
        <v>46050.825339641204</v>
      </c>
      <c r="B108" s="9" t="s">
        <v>18</v>
      </c>
      <c r="C108" s="10">
        <v>46050.0</v>
      </c>
      <c r="D108" s="9" t="s">
        <v>19</v>
      </c>
      <c r="F108" s="9" t="s">
        <v>25</v>
      </c>
      <c r="G108" s="9" t="s">
        <v>26</v>
      </c>
      <c r="H108" s="9">
        <v>5.0</v>
      </c>
      <c r="I108" s="9">
        <v>4.0</v>
      </c>
      <c r="J108" s="9">
        <v>5.0</v>
      </c>
      <c r="K108" s="9">
        <v>5.0</v>
      </c>
      <c r="L108" s="9">
        <v>4.0</v>
      </c>
      <c r="M108" s="9">
        <v>4.0</v>
      </c>
      <c r="N108" s="9">
        <v>3.0</v>
      </c>
      <c r="O108" s="9">
        <v>4.0</v>
      </c>
      <c r="P108" s="9">
        <v>9.0</v>
      </c>
      <c r="Q108" s="9" t="s">
        <v>96</v>
      </c>
      <c r="R108" s="9" t="s">
        <v>97</v>
      </c>
    </row>
    <row r="109" ht="22.5" customHeight="1">
      <c r="A109" s="8">
        <v>46050.83418842593</v>
      </c>
      <c r="B109" s="9" t="s">
        <v>18</v>
      </c>
      <c r="C109" s="10">
        <v>46050.0</v>
      </c>
      <c r="D109" s="9" t="s">
        <v>19</v>
      </c>
      <c r="E109" s="9" t="s">
        <v>98</v>
      </c>
      <c r="F109" s="9" t="s">
        <v>21</v>
      </c>
      <c r="G109" s="9" t="s">
        <v>30</v>
      </c>
      <c r="J109" s="9">
        <v>4.0</v>
      </c>
      <c r="K109" s="9">
        <v>4.0</v>
      </c>
      <c r="L109" s="9">
        <v>3.0</v>
      </c>
      <c r="M109" s="9">
        <v>5.0</v>
      </c>
      <c r="N109" s="9">
        <v>5.0</v>
      </c>
      <c r="O109" s="9">
        <v>4.0</v>
      </c>
      <c r="P109" s="9">
        <v>9.0</v>
      </c>
      <c r="Q109" s="9" t="s">
        <v>99</v>
      </c>
      <c r="R109" s="9" t="s">
        <v>100</v>
      </c>
    </row>
    <row r="110" ht="22.5" customHeight="1">
      <c r="A110" s="8">
        <v>46050.83689799768</v>
      </c>
      <c r="B110" s="9" t="s">
        <v>18</v>
      </c>
      <c r="C110" s="10" t="s">
        <v>101</v>
      </c>
      <c r="D110" s="9" t="s">
        <v>19</v>
      </c>
      <c r="F110" s="9" t="s">
        <v>25</v>
      </c>
      <c r="G110" s="9" t="s">
        <v>26</v>
      </c>
      <c r="H110" s="9">
        <v>5.0</v>
      </c>
      <c r="I110" s="9">
        <v>5.0</v>
      </c>
      <c r="J110" s="9">
        <v>5.0</v>
      </c>
      <c r="K110" s="9">
        <v>5.0</v>
      </c>
      <c r="L110" s="9">
        <v>5.0</v>
      </c>
      <c r="M110" s="9">
        <v>5.0</v>
      </c>
      <c r="N110" s="9">
        <v>5.0</v>
      </c>
      <c r="O110" s="9">
        <v>5.0</v>
      </c>
      <c r="P110" s="9">
        <v>10.0</v>
      </c>
    </row>
    <row r="111" ht="22.5" customHeight="1">
      <c r="A111" s="8">
        <v>46050.837983958336</v>
      </c>
      <c r="B111" s="9" t="s">
        <v>18</v>
      </c>
      <c r="C111" s="10">
        <v>46050.0</v>
      </c>
      <c r="D111" s="9" t="s">
        <v>19</v>
      </c>
      <c r="E111" s="9" t="s">
        <v>102</v>
      </c>
      <c r="F111" s="9" t="s">
        <v>21</v>
      </c>
      <c r="G111" s="9" t="s">
        <v>26</v>
      </c>
      <c r="H111" s="9">
        <v>4.0</v>
      </c>
      <c r="I111" s="9">
        <v>4.0</v>
      </c>
      <c r="J111" s="9">
        <v>4.0</v>
      </c>
      <c r="K111" s="9">
        <v>5.0</v>
      </c>
      <c r="L111" s="9">
        <v>3.0</v>
      </c>
      <c r="M111" s="9">
        <v>3.0</v>
      </c>
      <c r="N111" s="9">
        <v>5.0</v>
      </c>
      <c r="O111" s="9">
        <v>5.0</v>
      </c>
      <c r="P111" s="9">
        <v>3.0</v>
      </c>
      <c r="Q111" s="9" t="s">
        <v>68</v>
      </c>
      <c r="R111" s="9" t="s">
        <v>103</v>
      </c>
    </row>
    <row r="112" ht="22.5" customHeight="1">
      <c r="A112" s="8">
        <v>46050.84136954861</v>
      </c>
      <c r="B112" s="9" t="s">
        <v>18</v>
      </c>
      <c r="C112" s="10">
        <v>46050.0</v>
      </c>
      <c r="D112" s="9" t="s">
        <v>19</v>
      </c>
      <c r="E112" s="9" t="s">
        <v>104</v>
      </c>
      <c r="F112" s="9" t="s">
        <v>21</v>
      </c>
      <c r="G112" s="9" t="s">
        <v>26</v>
      </c>
      <c r="H112" s="9">
        <v>4.0</v>
      </c>
      <c r="I112" s="9">
        <v>4.0</v>
      </c>
      <c r="J112" s="9">
        <v>4.0</v>
      </c>
      <c r="K112" s="9">
        <v>4.0</v>
      </c>
      <c r="L112" s="9">
        <v>5.0</v>
      </c>
      <c r="M112" s="9">
        <v>5.0</v>
      </c>
      <c r="N112" s="9">
        <v>5.0</v>
      </c>
      <c r="O112" s="9">
        <v>5.0</v>
      </c>
      <c r="P112" s="9">
        <v>8.0</v>
      </c>
      <c r="Q112" s="9" t="s">
        <v>79</v>
      </c>
      <c r="R112" s="9" t="s">
        <v>105</v>
      </c>
    </row>
    <row r="113" ht="22.5" customHeight="1">
      <c r="A113" s="8">
        <v>46050.84312893519</v>
      </c>
      <c r="B113" s="9" t="s">
        <v>18</v>
      </c>
      <c r="C113" s="10">
        <v>39787.0</v>
      </c>
      <c r="D113" s="9" t="s">
        <v>19</v>
      </c>
      <c r="F113" s="9" t="s">
        <v>21</v>
      </c>
      <c r="G113" s="9" t="s">
        <v>26</v>
      </c>
      <c r="H113" s="9">
        <v>5.0</v>
      </c>
      <c r="I113" s="9">
        <v>5.0</v>
      </c>
      <c r="J113" s="9">
        <v>5.0</v>
      </c>
      <c r="K113" s="9">
        <v>5.0</v>
      </c>
      <c r="L113" s="9">
        <v>5.0</v>
      </c>
      <c r="M113" s="9">
        <v>5.0</v>
      </c>
      <c r="N113" s="9">
        <v>5.0</v>
      </c>
      <c r="O113" s="9">
        <v>5.0</v>
      </c>
      <c r="P113" s="9">
        <v>10.0</v>
      </c>
    </row>
    <row r="114" ht="22.5" customHeight="1">
      <c r="A114" s="8">
        <v>46050.84659920139</v>
      </c>
      <c r="B114" s="9" t="s">
        <v>18</v>
      </c>
      <c r="C114" s="10">
        <v>39801.0</v>
      </c>
      <c r="D114" s="9" t="s">
        <v>19</v>
      </c>
      <c r="E114" s="9" t="s">
        <v>83</v>
      </c>
      <c r="F114" s="9" t="s">
        <v>25</v>
      </c>
      <c r="G114" s="9" t="s">
        <v>30</v>
      </c>
      <c r="H114" s="9">
        <v>2.0</v>
      </c>
      <c r="I114" s="9">
        <v>3.0</v>
      </c>
      <c r="J114" s="9">
        <v>2.0</v>
      </c>
      <c r="K114" s="9">
        <v>3.0</v>
      </c>
      <c r="L114" s="9">
        <v>3.0</v>
      </c>
      <c r="M114" s="9">
        <v>3.0</v>
      </c>
      <c r="N114" s="9">
        <v>3.0</v>
      </c>
      <c r="O114" s="9">
        <v>3.0</v>
      </c>
      <c r="P114" s="9">
        <v>3.0</v>
      </c>
    </row>
    <row r="115" ht="22.5" customHeight="1">
      <c r="A115" s="8">
        <v>46050.87069646991</v>
      </c>
      <c r="B115" s="9" t="s">
        <v>18</v>
      </c>
      <c r="C115" s="10">
        <v>46050.0</v>
      </c>
      <c r="D115" s="9" t="s">
        <v>19</v>
      </c>
      <c r="E115" s="9" t="s">
        <v>106</v>
      </c>
      <c r="F115" s="9" t="s">
        <v>25</v>
      </c>
      <c r="G115" s="9" t="s">
        <v>26</v>
      </c>
      <c r="H115" s="9">
        <v>4.0</v>
      </c>
      <c r="I115" s="9">
        <v>4.0</v>
      </c>
      <c r="J115" s="9">
        <v>5.0</v>
      </c>
      <c r="K115" s="9">
        <v>5.0</v>
      </c>
      <c r="L115" s="9">
        <v>4.0</v>
      </c>
      <c r="M115" s="9">
        <v>4.0</v>
      </c>
      <c r="N115" s="9">
        <v>4.0</v>
      </c>
      <c r="O115" s="9">
        <v>4.0</v>
      </c>
      <c r="P115" s="9">
        <v>9.0</v>
      </c>
      <c r="Q115" s="9" t="s">
        <v>107</v>
      </c>
      <c r="R115" s="9" t="s">
        <v>108</v>
      </c>
    </row>
    <row r="116" ht="22.5" customHeight="1">
      <c r="A116" s="8">
        <v>46050.879800173614</v>
      </c>
      <c r="B116" s="9" t="s">
        <v>18</v>
      </c>
      <c r="C116" s="10">
        <v>46050.0</v>
      </c>
      <c r="D116" s="9" t="s">
        <v>19</v>
      </c>
      <c r="E116" s="9" t="s">
        <v>83</v>
      </c>
      <c r="F116" s="9" t="s">
        <v>25</v>
      </c>
      <c r="G116" s="9" t="s">
        <v>26</v>
      </c>
      <c r="H116" s="9">
        <v>4.0</v>
      </c>
      <c r="I116" s="9">
        <v>5.0</v>
      </c>
      <c r="J116" s="9">
        <v>4.0</v>
      </c>
      <c r="K116" s="9">
        <v>4.0</v>
      </c>
      <c r="L116" s="9">
        <v>3.0</v>
      </c>
      <c r="M116" s="9">
        <v>4.0</v>
      </c>
      <c r="N116" s="9">
        <v>4.0</v>
      </c>
      <c r="O116" s="9">
        <v>5.0</v>
      </c>
      <c r="P116" s="9">
        <v>7.0</v>
      </c>
      <c r="Q116" s="9" t="s">
        <v>109</v>
      </c>
      <c r="R116" s="9" t="s">
        <v>49</v>
      </c>
    </row>
    <row r="117" ht="22.5" customHeight="1">
      <c r="A117" s="8">
        <v>46050.905966018516</v>
      </c>
      <c r="B117" s="9" t="s">
        <v>18</v>
      </c>
      <c r="C117" s="10">
        <v>46050.0</v>
      </c>
      <c r="D117" s="9" t="s">
        <v>19</v>
      </c>
      <c r="E117" s="9" t="s">
        <v>110</v>
      </c>
      <c r="F117" s="9" t="s">
        <v>25</v>
      </c>
      <c r="G117" s="9" t="s">
        <v>26</v>
      </c>
      <c r="H117" s="9">
        <v>4.0</v>
      </c>
      <c r="I117" s="9">
        <v>4.0</v>
      </c>
      <c r="J117" s="9">
        <v>4.0</v>
      </c>
      <c r="K117" s="9">
        <v>4.0</v>
      </c>
      <c r="L117" s="9">
        <v>4.0</v>
      </c>
      <c r="M117" s="9">
        <v>4.0</v>
      </c>
      <c r="N117" s="9">
        <v>4.0</v>
      </c>
      <c r="O117" s="9">
        <v>4.0</v>
      </c>
      <c r="P117" s="9">
        <v>7.0</v>
      </c>
      <c r="Q117" s="9" t="s">
        <v>111</v>
      </c>
      <c r="R117" s="9" t="s">
        <v>69</v>
      </c>
    </row>
    <row r="118" ht="22.5" customHeight="1">
      <c r="A118" s="8">
        <v>46051.300951990735</v>
      </c>
      <c r="B118" s="9" t="s">
        <v>18</v>
      </c>
      <c r="C118" s="10">
        <v>39980.0</v>
      </c>
      <c r="D118" s="9" t="s">
        <v>19</v>
      </c>
      <c r="F118" s="9" t="s">
        <v>25</v>
      </c>
      <c r="G118" s="9" t="s">
        <v>30</v>
      </c>
      <c r="H118" s="9">
        <v>5.0</v>
      </c>
      <c r="I118" s="9">
        <v>5.0</v>
      </c>
      <c r="J118" s="9">
        <v>5.0</v>
      </c>
      <c r="K118" s="9">
        <v>5.0</v>
      </c>
      <c r="L118" s="9">
        <v>5.0</v>
      </c>
      <c r="M118" s="9">
        <v>5.0</v>
      </c>
      <c r="N118" s="9">
        <v>5.0</v>
      </c>
      <c r="O118" s="9">
        <v>5.0</v>
      </c>
      <c r="P118" s="9">
        <v>10.0</v>
      </c>
    </row>
    <row r="119" ht="22.5" customHeight="1">
      <c r="A119" s="8">
        <v>46081.467906238424</v>
      </c>
      <c r="B119" s="9" t="s">
        <v>18</v>
      </c>
      <c r="C119" s="10">
        <v>46081.0</v>
      </c>
      <c r="D119" s="9" t="s">
        <v>19</v>
      </c>
      <c r="E119" s="9" t="s">
        <v>112</v>
      </c>
      <c r="F119" s="9" t="s">
        <v>25</v>
      </c>
      <c r="G119" s="9" t="s">
        <v>30</v>
      </c>
      <c r="H119" s="9">
        <v>5.0</v>
      </c>
      <c r="I119" s="9">
        <v>5.0</v>
      </c>
      <c r="J119" s="9">
        <v>3.0</v>
      </c>
      <c r="K119" s="9">
        <v>3.0</v>
      </c>
      <c r="L119" s="9">
        <v>3.0</v>
      </c>
      <c r="M119" s="9">
        <v>3.0</v>
      </c>
      <c r="N119" s="9">
        <v>3.0</v>
      </c>
      <c r="O119" s="9">
        <v>4.0</v>
      </c>
      <c r="P119" s="9">
        <v>8.0</v>
      </c>
      <c r="Q119" s="9" t="s">
        <v>113</v>
      </c>
      <c r="R119" s="9" t="s">
        <v>114</v>
      </c>
    </row>
    <row r="120" ht="22.5" customHeight="1">
      <c r="A120" s="8">
        <v>46081.46965861111</v>
      </c>
      <c r="B120" s="9" t="s">
        <v>18</v>
      </c>
      <c r="C120" s="10">
        <v>46081.0</v>
      </c>
      <c r="D120" s="9" t="s">
        <v>19</v>
      </c>
      <c r="E120" s="9" t="s">
        <v>115</v>
      </c>
      <c r="F120" s="9" t="s">
        <v>25</v>
      </c>
      <c r="G120" s="9" t="s">
        <v>26</v>
      </c>
      <c r="H120" s="9">
        <v>1.0</v>
      </c>
      <c r="I120" s="9">
        <v>4.0</v>
      </c>
      <c r="J120" s="9">
        <v>4.0</v>
      </c>
      <c r="K120" s="9">
        <v>5.0</v>
      </c>
      <c r="L120" s="9">
        <v>5.0</v>
      </c>
      <c r="M120" s="9">
        <v>4.0</v>
      </c>
      <c r="N120" s="9">
        <v>5.0</v>
      </c>
      <c r="O120" s="9">
        <v>5.0</v>
      </c>
      <c r="P120" s="9">
        <v>9.0</v>
      </c>
      <c r="Q120" s="9" t="s">
        <v>116</v>
      </c>
      <c r="R120" s="9" t="s">
        <v>117</v>
      </c>
    </row>
    <row r="121" ht="22.5" customHeight="1">
      <c r="A121" s="8">
        <v>46081.46989115741</v>
      </c>
      <c r="B121" s="9" t="s">
        <v>18</v>
      </c>
      <c r="C121" s="10">
        <v>46081.0</v>
      </c>
      <c r="D121" s="9" t="s">
        <v>19</v>
      </c>
      <c r="E121" s="9" t="s">
        <v>118</v>
      </c>
      <c r="F121" s="9" t="s">
        <v>25</v>
      </c>
      <c r="G121" s="9" t="s">
        <v>26</v>
      </c>
      <c r="H121" s="9">
        <v>5.0</v>
      </c>
      <c r="I121" s="9">
        <v>5.0</v>
      </c>
      <c r="J121" s="9">
        <v>3.0</v>
      </c>
      <c r="K121" s="9">
        <v>5.0</v>
      </c>
      <c r="L121" s="9">
        <v>3.0</v>
      </c>
      <c r="M121" s="9">
        <v>5.0</v>
      </c>
      <c r="N121" s="9">
        <v>5.0</v>
      </c>
      <c r="O121" s="9">
        <v>5.0</v>
      </c>
      <c r="P121" s="9">
        <v>7.0</v>
      </c>
      <c r="Q121" s="9" t="s">
        <v>119</v>
      </c>
      <c r="R121" s="9" t="s">
        <v>120</v>
      </c>
    </row>
    <row r="122" ht="22.5" customHeight="1">
      <c r="A122" s="8">
        <v>46081.4713008449</v>
      </c>
      <c r="B122" s="9" t="s">
        <v>18</v>
      </c>
      <c r="C122" s="10">
        <v>46081.0</v>
      </c>
      <c r="D122" s="9" t="s">
        <v>19</v>
      </c>
      <c r="E122" s="9" t="s">
        <v>121</v>
      </c>
      <c r="F122" s="9" t="s">
        <v>25</v>
      </c>
      <c r="G122" s="9" t="s">
        <v>26</v>
      </c>
      <c r="H122" s="9">
        <v>4.0</v>
      </c>
      <c r="I122" s="9">
        <v>4.0</v>
      </c>
      <c r="J122" s="9">
        <v>5.0</v>
      </c>
      <c r="K122" s="9">
        <v>5.0</v>
      </c>
      <c r="L122" s="9">
        <v>4.0</v>
      </c>
      <c r="M122" s="9">
        <v>5.0</v>
      </c>
      <c r="N122" s="9">
        <v>5.0</v>
      </c>
      <c r="O122" s="9">
        <v>5.0</v>
      </c>
      <c r="P122" s="9">
        <v>8.0</v>
      </c>
      <c r="Q122" s="9" t="s">
        <v>122</v>
      </c>
      <c r="R122" s="9" t="s">
        <v>123</v>
      </c>
    </row>
    <row r="123" ht="22.5" customHeight="1">
      <c r="A123" s="8">
        <v>46081.474545590274</v>
      </c>
      <c r="B123" s="9" t="s">
        <v>18</v>
      </c>
      <c r="C123" s="10">
        <v>46081.0</v>
      </c>
      <c r="D123" s="9" t="s">
        <v>19</v>
      </c>
      <c r="E123" s="9" t="s">
        <v>124</v>
      </c>
      <c r="F123" s="9" t="s">
        <v>25</v>
      </c>
      <c r="G123" s="9" t="s">
        <v>26</v>
      </c>
      <c r="H123" s="9">
        <v>5.0</v>
      </c>
      <c r="I123" s="9">
        <v>5.0</v>
      </c>
      <c r="J123" s="9">
        <v>3.0</v>
      </c>
      <c r="K123" s="9">
        <v>5.0</v>
      </c>
      <c r="L123" s="9">
        <v>3.0</v>
      </c>
      <c r="M123" s="9">
        <v>5.0</v>
      </c>
      <c r="N123" s="9">
        <v>5.0</v>
      </c>
      <c r="O123" s="9">
        <v>5.0</v>
      </c>
      <c r="P123" s="9">
        <v>7.0</v>
      </c>
      <c r="Q123" s="9" t="s">
        <v>125</v>
      </c>
      <c r="R123" s="9" t="s">
        <v>126</v>
      </c>
    </row>
    <row r="124" ht="22.5" customHeight="1">
      <c r="A124" s="8">
        <v>46081.53649175926</v>
      </c>
      <c r="B124" s="9" t="s">
        <v>18</v>
      </c>
      <c r="C124" s="10">
        <v>46081.0</v>
      </c>
      <c r="D124" s="9" t="s">
        <v>127</v>
      </c>
      <c r="E124" s="9" t="s">
        <v>86</v>
      </c>
      <c r="F124" s="9" t="s">
        <v>21</v>
      </c>
      <c r="G124" s="9" t="s">
        <v>26</v>
      </c>
      <c r="H124" s="9">
        <v>3.0</v>
      </c>
      <c r="I124" s="9">
        <v>3.0</v>
      </c>
      <c r="J124" s="9">
        <v>2.0</v>
      </c>
      <c r="K124" s="9">
        <v>2.0</v>
      </c>
      <c r="L124" s="9">
        <v>3.0</v>
      </c>
      <c r="M124" s="9">
        <v>2.0</v>
      </c>
      <c r="N124" s="9">
        <v>2.0</v>
      </c>
      <c r="O124" s="9">
        <v>2.0</v>
      </c>
      <c r="P124" s="9">
        <v>2.0</v>
      </c>
    </row>
    <row r="125" ht="22.5" customHeight="1">
      <c r="A125" s="8">
        <v>46303.46955658565</v>
      </c>
      <c r="B125" s="9" t="s">
        <v>18</v>
      </c>
      <c r="C125" s="10">
        <v>46298.0</v>
      </c>
      <c r="D125" s="9" t="s">
        <v>19</v>
      </c>
      <c r="F125" s="9" t="s">
        <v>25</v>
      </c>
      <c r="G125" s="9" t="s">
        <v>26</v>
      </c>
      <c r="H125" s="9">
        <v>5.0</v>
      </c>
      <c r="I125" s="9">
        <v>3.0</v>
      </c>
      <c r="J125" s="9">
        <v>3.0</v>
      </c>
      <c r="K125" s="9">
        <v>3.0</v>
      </c>
      <c r="L125" s="9">
        <v>2.0</v>
      </c>
      <c r="M125" s="9">
        <v>3.0</v>
      </c>
      <c r="N125" s="9">
        <v>3.0</v>
      </c>
      <c r="O125" s="9">
        <v>2.0</v>
      </c>
      <c r="P125" s="9">
        <v>4.0</v>
      </c>
    </row>
    <row r="126" ht="22.5" customHeight="1">
      <c r="A126" s="8">
        <v>46303.48010916667</v>
      </c>
      <c r="B126" s="9" t="s">
        <v>18</v>
      </c>
      <c r="C126" s="10">
        <v>46301.0</v>
      </c>
      <c r="D126" s="9" t="s">
        <v>19</v>
      </c>
      <c r="E126" s="9" t="s">
        <v>20</v>
      </c>
      <c r="F126" s="9" t="s">
        <v>25</v>
      </c>
      <c r="G126" s="9" t="s">
        <v>26</v>
      </c>
      <c r="H126" s="9">
        <v>4.0</v>
      </c>
      <c r="I126" s="9">
        <v>3.0</v>
      </c>
      <c r="J126" s="9">
        <v>3.0</v>
      </c>
      <c r="K126" s="9">
        <v>4.0</v>
      </c>
      <c r="L126" s="9">
        <v>4.0</v>
      </c>
      <c r="M126" s="9">
        <v>4.0</v>
      </c>
      <c r="N126" s="9">
        <v>4.0</v>
      </c>
      <c r="O126" s="9">
        <v>4.0</v>
      </c>
      <c r="P126" s="9">
        <v>7.0</v>
      </c>
    </row>
    <row r="127" ht="22.5" customHeight="1">
      <c r="A127" s="8">
        <v>46303.48197439815</v>
      </c>
      <c r="B127" s="9" t="s">
        <v>18</v>
      </c>
      <c r="C127" s="10">
        <v>46281.0</v>
      </c>
      <c r="D127" s="9" t="s">
        <v>19</v>
      </c>
      <c r="F127" s="9" t="s">
        <v>25</v>
      </c>
      <c r="G127" s="9" t="s">
        <v>26</v>
      </c>
      <c r="H127" s="9">
        <v>4.0</v>
      </c>
      <c r="I127" s="9">
        <v>4.0</v>
      </c>
      <c r="J127" s="9">
        <v>4.0</v>
      </c>
      <c r="K127" s="9">
        <v>4.0</v>
      </c>
      <c r="L127" s="9">
        <v>5.0</v>
      </c>
      <c r="M127" s="9">
        <v>4.0</v>
      </c>
      <c r="N127" s="9">
        <v>5.0</v>
      </c>
      <c r="O127" s="9">
        <v>4.0</v>
      </c>
      <c r="P127" s="9">
        <v>8.0</v>
      </c>
    </row>
    <row r="128" ht="22.5" customHeight="1">
      <c r="A128" s="8">
        <v>46303.484728877316</v>
      </c>
      <c r="B128" s="9" t="s">
        <v>18</v>
      </c>
      <c r="C128" s="10">
        <v>46303.0</v>
      </c>
      <c r="D128" s="9" t="s">
        <v>19</v>
      </c>
      <c r="F128" s="9" t="s">
        <v>25</v>
      </c>
      <c r="G128" s="9" t="s">
        <v>30</v>
      </c>
      <c r="H128" s="9">
        <v>4.0</v>
      </c>
      <c r="I128" s="9">
        <v>5.0</v>
      </c>
      <c r="J128" s="9">
        <v>5.0</v>
      </c>
      <c r="K128" s="9">
        <v>5.0</v>
      </c>
      <c r="L128" s="9">
        <v>5.0</v>
      </c>
      <c r="M128" s="9">
        <v>5.0</v>
      </c>
      <c r="N128" s="9">
        <v>5.0</v>
      </c>
      <c r="O128" s="9">
        <v>5.0</v>
      </c>
      <c r="P128" s="9">
        <v>9.0</v>
      </c>
    </row>
    <row r="129" ht="22.5" customHeight="1">
      <c r="A129" s="8">
        <v>46303.48641548611</v>
      </c>
      <c r="B129" s="9" t="s">
        <v>18</v>
      </c>
      <c r="C129" s="10">
        <v>46303.0</v>
      </c>
      <c r="D129" s="9" t="s">
        <v>19</v>
      </c>
      <c r="E129" s="9" t="s">
        <v>128</v>
      </c>
      <c r="F129" s="9" t="s">
        <v>25</v>
      </c>
      <c r="G129" s="9" t="s">
        <v>30</v>
      </c>
      <c r="H129" s="9">
        <v>2.0</v>
      </c>
      <c r="I129" s="9">
        <v>5.0</v>
      </c>
      <c r="J129" s="9">
        <v>5.0</v>
      </c>
      <c r="K129" s="9">
        <v>5.0</v>
      </c>
      <c r="L129" s="9">
        <v>5.0</v>
      </c>
      <c r="M129" s="9">
        <v>5.0</v>
      </c>
      <c r="N129" s="9">
        <v>5.0</v>
      </c>
      <c r="O129" s="9">
        <v>5.0</v>
      </c>
      <c r="P129" s="9">
        <v>7.0</v>
      </c>
      <c r="Q129" s="9" t="s">
        <v>129</v>
      </c>
      <c r="R129" s="9" t="s">
        <v>94</v>
      </c>
    </row>
    <row r="130" ht="22.5" customHeight="1">
      <c r="A130" s="8">
        <v>46303.48782837963</v>
      </c>
      <c r="B130" s="9" t="s">
        <v>18</v>
      </c>
      <c r="C130" s="10">
        <v>46303.0</v>
      </c>
      <c r="D130" s="9" t="s">
        <v>19</v>
      </c>
      <c r="E130" s="9" t="s">
        <v>29</v>
      </c>
      <c r="F130" s="9" t="s">
        <v>25</v>
      </c>
      <c r="G130" s="9" t="s">
        <v>30</v>
      </c>
      <c r="H130" s="9">
        <v>4.0</v>
      </c>
      <c r="I130" s="9">
        <v>3.0</v>
      </c>
      <c r="J130" s="9">
        <v>5.0</v>
      </c>
      <c r="K130" s="9">
        <v>4.0</v>
      </c>
      <c r="L130" s="9">
        <v>3.0</v>
      </c>
      <c r="M130" s="9">
        <v>3.0</v>
      </c>
      <c r="N130" s="9">
        <v>4.0</v>
      </c>
      <c r="O130" s="9">
        <v>3.0</v>
      </c>
      <c r="P130" s="9">
        <v>8.0</v>
      </c>
      <c r="Q130" s="9" t="s">
        <v>130</v>
      </c>
      <c r="R130" s="9" t="s">
        <v>131</v>
      </c>
    </row>
    <row r="131" ht="22.5" customHeight="1">
      <c r="A131" s="8">
        <v>46303.49531457176</v>
      </c>
      <c r="B131" s="9" t="s">
        <v>18</v>
      </c>
      <c r="C131" s="10">
        <v>46301.0</v>
      </c>
      <c r="D131" s="9" t="s">
        <v>19</v>
      </c>
      <c r="F131" s="9" t="s">
        <v>21</v>
      </c>
      <c r="G131" s="9" t="s">
        <v>26</v>
      </c>
      <c r="H131" s="9">
        <v>5.0</v>
      </c>
      <c r="I131" s="9">
        <v>5.0</v>
      </c>
      <c r="J131" s="9">
        <v>5.0</v>
      </c>
      <c r="K131" s="9">
        <v>4.0</v>
      </c>
      <c r="L131" s="9">
        <v>4.0</v>
      </c>
      <c r="M131" s="9">
        <v>5.0</v>
      </c>
      <c r="N131" s="9">
        <v>5.0</v>
      </c>
      <c r="O131" s="9">
        <v>4.0</v>
      </c>
      <c r="P131" s="9">
        <v>9.0</v>
      </c>
    </row>
    <row r="132" ht="22.5" customHeight="1">
      <c r="A132" s="8">
        <v>46303.49909686342</v>
      </c>
      <c r="B132" s="9" t="s">
        <v>18</v>
      </c>
      <c r="C132" s="10">
        <v>46284.0</v>
      </c>
      <c r="D132" s="9" t="s">
        <v>19</v>
      </c>
      <c r="E132" s="9" t="s">
        <v>20</v>
      </c>
      <c r="F132" s="9" t="s">
        <v>25</v>
      </c>
      <c r="G132" s="9" t="s">
        <v>26</v>
      </c>
      <c r="H132" s="9">
        <v>4.0</v>
      </c>
      <c r="I132" s="9">
        <v>4.0</v>
      </c>
      <c r="J132" s="9">
        <v>4.0</v>
      </c>
      <c r="K132" s="9">
        <v>5.0</v>
      </c>
      <c r="L132" s="9">
        <v>4.0</v>
      </c>
      <c r="M132" s="9">
        <v>4.0</v>
      </c>
      <c r="N132" s="9">
        <v>4.0</v>
      </c>
      <c r="O132" s="9">
        <v>4.0</v>
      </c>
      <c r="P132" s="9">
        <v>8.0</v>
      </c>
      <c r="Q132" s="9" t="s">
        <v>47</v>
      </c>
      <c r="R132" s="9" t="s">
        <v>47</v>
      </c>
    </row>
    <row r="133" ht="22.5" customHeight="1">
      <c r="A133" s="8">
        <v>46303.520489421295</v>
      </c>
      <c r="B133" s="9" t="s">
        <v>18</v>
      </c>
      <c r="C133" s="10">
        <v>46303.0</v>
      </c>
      <c r="D133" s="9" t="s">
        <v>19</v>
      </c>
      <c r="E133" s="9" t="s">
        <v>132</v>
      </c>
      <c r="F133" s="9" t="s">
        <v>25</v>
      </c>
      <c r="G133" s="9" t="s">
        <v>30</v>
      </c>
      <c r="H133" s="9">
        <v>4.0</v>
      </c>
      <c r="I133" s="9">
        <v>5.0</v>
      </c>
      <c r="J133" s="9">
        <v>5.0</v>
      </c>
      <c r="K133" s="9">
        <v>5.0</v>
      </c>
      <c r="L133" s="9">
        <v>5.0</v>
      </c>
      <c r="M133" s="9">
        <v>5.0</v>
      </c>
      <c r="N133" s="9">
        <v>5.0</v>
      </c>
      <c r="O133" s="9">
        <v>5.0</v>
      </c>
      <c r="P133" s="9">
        <v>10.0</v>
      </c>
    </row>
    <row r="134" ht="22.5" customHeight="1">
      <c r="A134" s="8">
        <v>46303.5344469213</v>
      </c>
      <c r="B134" s="9" t="s">
        <v>18</v>
      </c>
      <c r="C134" s="10">
        <v>39767.0</v>
      </c>
      <c r="D134" s="9" t="s">
        <v>19</v>
      </c>
      <c r="F134" s="9" t="s">
        <v>21</v>
      </c>
      <c r="G134" s="9" t="s">
        <v>22</v>
      </c>
      <c r="H134" s="9">
        <v>3.0</v>
      </c>
      <c r="I134" s="9">
        <v>3.0</v>
      </c>
      <c r="J134" s="9">
        <v>3.0</v>
      </c>
      <c r="K134" s="9">
        <v>3.0</v>
      </c>
      <c r="L134" s="9">
        <v>3.0</v>
      </c>
      <c r="M134" s="9">
        <v>3.0</v>
      </c>
      <c r="N134" s="9">
        <v>3.0</v>
      </c>
      <c r="O134" s="9">
        <v>3.0</v>
      </c>
      <c r="P134" s="9">
        <v>6.0</v>
      </c>
      <c r="Q134" s="9" t="s">
        <v>49</v>
      </c>
      <c r="R134" s="9" t="s">
        <v>49</v>
      </c>
    </row>
    <row r="135" ht="22.5" customHeight="1">
      <c r="A135" s="8">
        <v>46303.536993622685</v>
      </c>
      <c r="B135" s="9" t="s">
        <v>18</v>
      </c>
      <c r="C135" s="10">
        <v>39844.0</v>
      </c>
      <c r="D135" s="9" t="s">
        <v>19</v>
      </c>
      <c r="F135" s="9" t="s">
        <v>25</v>
      </c>
      <c r="G135" s="9" t="s">
        <v>26</v>
      </c>
      <c r="H135" s="9">
        <v>5.0</v>
      </c>
      <c r="I135" s="9">
        <v>3.0</v>
      </c>
      <c r="J135" s="9">
        <v>5.0</v>
      </c>
      <c r="K135" s="9">
        <v>4.0</v>
      </c>
      <c r="L135" s="9">
        <v>3.0</v>
      </c>
      <c r="M135" s="9">
        <v>4.0</v>
      </c>
      <c r="N135" s="9">
        <v>4.0</v>
      </c>
      <c r="O135" s="9">
        <v>4.0</v>
      </c>
      <c r="P135" s="9">
        <v>9.0</v>
      </c>
      <c r="Q135" s="9" t="s">
        <v>47</v>
      </c>
      <c r="R135" s="9" t="s">
        <v>47</v>
      </c>
    </row>
    <row r="136" ht="22.5" customHeight="1">
      <c r="A136" s="8">
        <v>46303.53768497685</v>
      </c>
      <c r="B136" s="9" t="s">
        <v>18</v>
      </c>
      <c r="C136" s="10">
        <v>46303.0</v>
      </c>
      <c r="D136" s="9" t="s">
        <v>19</v>
      </c>
      <c r="F136" s="9" t="s">
        <v>25</v>
      </c>
      <c r="G136" s="9" t="s">
        <v>30</v>
      </c>
      <c r="H136" s="9">
        <v>5.0</v>
      </c>
      <c r="I136" s="9">
        <v>5.0</v>
      </c>
      <c r="J136" s="9">
        <v>5.0</v>
      </c>
      <c r="K136" s="9">
        <v>5.0</v>
      </c>
      <c r="L136" s="9">
        <v>5.0</v>
      </c>
      <c r="M136" s="9">
        <v>5.0</v>
      </c>
      <c r="N136" s="9">
        <v>5.0</v>
      </c>
      <c r="O136" s="9">
        <v>5.0</v>
      </c>
      <c r="P136" s="9">
        <v>10.0</v>
      </c>
      <c r="Q136" s="9" t="s">
        <v>68</v>
      </c>
      <c r="R136" s="9" t="s">
        <v>94</v>
      </c>
    </row>
    <row r="137" ht="22.5" customHeight="1">
      <c r="A137" s="8">
        <v>46303.60724113426</v>
      </c>
      <c r="B137" s="9" t="s">
        <v>18</v>
      </c>
      <c r="C137" s="10">
        <v>46303.0</v>
      </c>
      <c r="D137" s="9" t="s">
        <v>19</v>
      </c>
      <c r="F137" s="9" t="s">
        <v>25</v>
      </c>
      <c r="G137" s="9" t="s">
        <v>30</v>
      </c>
      <c r="H137" s="9">
        <v>4.0</v>
      </c>
      <c r="I137" s="9">
        <v>2.0</v>
      </c>
      <c r="J137" s="9">
        <v>3.0</v>
      </c>
      <c r="K137" s="9">
        <v>3.0</v>
      </c>
      <c r="L137" s="9">
        <v>3.0</v>
      </c>
      <c r="M137" s="9">
        <v>3.0</v>
      </c>
      <c r="N137" s="9">
        <v>4.0</v>
      </c>
      <c r="O137" s="9">
        <v>5.0</v>
      </c>
      <c r="P137" s="9">
        <v>10.0</v>
      </c>
      <c r="Q137" s="9" t="s">
        <v>68</v>
      </c>
      <c r="R137" s="9" t="s">
        <v>129</v>
      </c>
    </row>
    <row r="138" ht="22.5" customHeight="1">
      <c r="A138" s="8">
        <v>46303.67244409722</v>
      </c>
      <c r="B138" s="9" t="s">
        <v>18</v>
      </c>
      <c r="C138" s="10" t="s">
        <v>133</v>
      </c>
      <c r="D138" s="9" t="s">
        <v>19</v>
      </c>
      <c r="F138" s="9" t="s">
        <v>25</v>
      </c>
      <c r="G138" s="9" t="s">
        <v>22</v>
      </c>
      <c r="H138" s="9">
        <v>2.0</v>
      </c>
      <c r="I138" s="9">
        <v>4.0</v>
      </c>
      <c r="J138" s="9">
        <v>4.0</v>
      </c>
      <c r="K138" s="9">
        <v>3.0</v>
      </c>
      <c r="L138" s="9">
        <v>3.0</v>
      </c>
      <c r="M138" s="9">
        <v>3.0</v>
      </c>
      <c r="N138" s="9">
        <v>3.0</v>
      </c>
      <c r="O138" s="9">
        <v>3.0</v>
      </c>
      <c r="P138" s="9">
        <v>8.0</v>
      </c>
      <c r="Q138" s="9" t="s">
        <v>49</v>
      </c>
      <c r="R138" s="9" t="s">
        <v>129</v>
      </c>
    </row>
    <row r="139" ht="22.5" customHeight="1">
      <c r="A139" s="8">
        <v>46303.675115474536</v>
      </c>
      <c r="B139" s="9" t="s">
        <v>18</v>
      </c>
      <c r="C139" s="10">
        <v>46303.0</v>
      </c>
      <c r="D139" s="9" t="s">
        <v>19</v>
      </c>
      <c r="F139" s="9" t="s">
        <v>25</v>
      </c>
      <c r="G139" s="9" t="s">
        <v>22</v>
      </c>
      <c r="H139" s="9">
        <v>4.0</v>
      </c>
      <c r="I139" s="9">
        <v>5.0</v>
      </c>
      <c r="J139" s="9">
        <v>4.0</v>
      </c>
      <c r="K139" s="9">
        <v>4.0</v>
      </c>
      <c r="L139" s="9">
        <v>3.0</v>
      </c>
      <c r="M139" s="9">
        <v>3.0</v>
      </c>
      <c r="N139" s="9">
        <v>4.0</v>
      </c>
      <c r="O139" s="9">
        <v>5.0</v>
      </c>
      <c r="P139" s="9">
        <v>9.0</v>
      </c>
      <c r="Q139" s="9" t="s">
        <v>134</v>
      </c>
      <c r="R139" s="9" t="s">
        <v>135</v>
      </c>
    </row>
    <row r="140" ht="22.5" customHeight="1">
      <c r="A140" s="8">
        <v>46303.70453069445</v>
      </c>
      <c r="B140" s="9" t="s">
        <v>18</v>
      </c>
      <c r="C140" s="10">
        <v>46302.0</v>
      </c>
      <c r="D140" s="9" t="s">
        <v>19</v>
      </c>
      <c r="E140" s="9" t="s">
        <v>29</v>
      </c>
      <c r="F140" s="9" t="s">
        <v>25</v>
      </c>
      <c r="G140" s="9" t="s">
        <v>30</v>
      </c>
      <c r="H140" s="9">
        <v>5.0</v>
      </c>
      <c r="I140" s="9">
        <v>5.0</v>
      </c>
      <c r="J140" s="9">
        <v>5.0</v>
      </c>
      <c r="K140" s="9">
        <v>5.0</v>
      </c>
      <c r="L140" s="9">
        <v>4.0</v>
      </c>
      <c r="M140" s="9">
        <v>5.0</v>
      </c>
      <c r="N140" s="9">
        <v>5.0</v>
      </c>
      <c r="O140" s="9">
        <v>5.0</v>
      </c>
      <c r="P140" s="9">
        <v>10.0</v>
      </c>
    </row>
    <row r="141" ht="22.5" customHeight="1">
      <c r="A141" s="8">
        <v>46303.78985291667</v>
      </c>
      <c r="B141" s="9" t="s">
        <v>18</v>
      </c>
      <c r="C141" s="10">
        <v>46303.0</v>
      </c>
      <c r="D141" s="9" t="s">
        <v>19</v>
      </c>
      <c r="F141" s="9" t="s">
        <v>25</v>
      </c>
      <c r="G141" s="9" t="s">
        <v>30</v>
      </c>
      <c r="H141" s="9">
        <v>5.0</v>
      </c>
      <c r="I141" s="9">
        <v>5.0</v>
      </c>
      <c r="J141" s="9">
        <v>3.0</v>
      </c>
      <c r="K141" s="9">
        <v>3.0</v>
      </c>
      <c r="L141" s="9">
        <v>4.0</v>
      </c>
      <c r="M141" s="9">
        <v>4.0</v>
      </c>
      <c r="N141" s="9">
        <v>5.0</v>
      </c>
      <c r="O141" s="9">
        <v>5.0</v>
      </c>
      <c r="P141" s="9">
        <v>8.0</v>
      </c>
    </row>
    <row r="142" ht="22.5" customHeight="1">
      <c r="A142" s="8">
        <v>46303.79095166667</v>
      </c>
      <c r="B142" s="9" t="s">
        <v>18</v>
      </c>
      <c r="C142" s="10">
        <v>46302.0</v>
      </c>
      <c r="D142" s="9" t="s">
        <v>19</v>
      </c>
      <c r="F142" s="9" t="s">
        <v>25</v>
      </c>
      <c r="G142" s="9" t="s">
        <v>26</v>
      </c>
      <c r="H142" s="9">
        <v>5.0</v>
      </c>
      <c r="I142" s="9">
        <v>5.0</v>
      </c>
      <c r="J142" s="9">
        <v>3.0</v>
      </c>
      <c r="K142" s="9">
        <v>5.0</v>
      </c>
      <c r="L142" s="9">
        <v>5.0</v>
      </c>
      <c r="M142" s="9">
        <v>5.0</v>
      </c>
      <c r="N142" s="9">
        <v>5.0</v>
      </c>
      <c r="O142" s="9">
        <v>5.0</v>
      </c>
      <c r="P142" s="9">
        <v>8.0</v>
      </c>
    </row>
    <row r="143" ht="22.5" customHeight="1">
      <c r="A143" s="8">
        <v>46303.79544453704</v>
      </c>
      <c r="B143" s="9" t="s">
        <v>18</v>
      </c>
      <c r="C143" s="10">
        <v>46302.0</v>
      </c>
      <c r="D143" s="9" t="s">
        <v>19</v>
      </c>
      <c r="E143" s="9" t="s">
        <v>136</v>
      </c>
      <c r="F143" s="9" t="s">
        <v>25</v>
      </c>
      <c r="G143" s="9" t="s">
        <v>30</v>
      </c>
      <c r="I143" s="9">
        <v>5.0</v>
      </c>
      <c r="J143" s="9">
        <v>5.0</v>
      </c>
      <c r="N143" s="9">
        <v>5.0</v>
      </c>
      <c r="O143" s="9">
        <v>5.0</v>
      </c>
      <c r="P143" s="9">
        <v>10.0</v>
      </c>
    </row>
    <row r="144" ht="22.5" customHeight="1">
      <c r="A144" s="8">
        <v>46303.802143125</v>
      </c>
      <c r="B144" s="9" t="s">
        <v>18</v>
      </c>
      <c r="C144" s="10">
        <v>46301.0</v>
      </c>
      <c r="D144" s="9" t="s">
        <v>19</v>
      </c>
      <c r="E144" s="9" t="s">
        <v>38</v>
      </c>
      <c r="F144" s="9" t="s">
        <v>25</v>
      </c>
      <c r="G144" s="9" t="s">
        <v>30</v>
      </c>
      <c r="H144" s="9">
        <v>5.0</v>
      </c>
      <c r="I144" s="9">
        <v>5.0</v>
      </c>
      <c r="J144" s="9">
        <v>3.0</v>
      </c>
      <c r="K144" s="9">
        <v>4.0</v>
      </c>
      <c r="L144" s="9">
        <v>3.0</v>
      </c>
      <c r="M144" s="9">
        <v>5.0</v>
      </c>
      <c r="N144" s="9">
        <v>5.0</v>
      </c>
      <c r="O144" s="9">
        <v>4.0</v>
      </c>
      <c r="P144" s="9">
        <v>9.0</v>
      </c>
    </row>
    <row r="145" ht="22.5" customHeight="1">
      <c r="A145" s="8">
        <v>46303.803338425925</v>
      </c>
      <c r="B145" s="9" t="s">
        <v>18</v>
      </c>
      <c r="C145" s="10">
        <v>46281.0</v>
      </c>
      <c r="D145" s="9" t="s">
        <v>19</v>
      </c>
      <c r="E145" s="9" t="s">
        <v>20</v>
      </c>
      <c r="F145" s="9" t="s">
        <v>25</v>
      </c>
      <c r="G145" s="9" t="s">
        <v>26</v>
      </c>
      <c r="H145" s="9">
        <v>5.0</v>
      </c>
      <c r="I145" s="9">
        <v>3.0</v>
      </c>
      <c r="J145" s="9">
        <v>3.0</v>
      </c>
      <c r="K145" s="9">
        <v>3.0</v>
      </c>
      <c r="L145" s="9">
        <v>4.0</v>
      </c>
      <c r="M145" s="9">
        <v>5.0</v>
      </c>
      <c r="N145" s="9">
        <v>5.0</v>
      </c>
      <c r="O145" s="9">
        <v>5.0</v>
      </c>
      <c r="P145" s="9">
        <v>5.0</v>
      </c>
    </row>
    <row r="146" ht="22.5" customHeight="1">
      <c r="A146" s="8">
        <v>46303.869026203705</v>
      </c>
      <c r="B146" s="9" t="s">
        <v>18</v>
      </c>
      <c r="C146" s="10">
        <v>46302.0</v>
      </c>
      <c r="D146" s="9" t="s">
        <v>19</v>
      </c>
      <c r="E146" s="9" t="s">
        <v>20</v>
      </c>
      <c r="F146" s="9" t="s">
        <v>25</v>
      </c>
      <c r="G146" s="9" t="s">
        <v>30</v>
      </c>
      <c r="H146" s="9">
        <v>3.0</v>
      </c>
      <c r="I146" s="9">
        <v>3.0</v>
      </c>
      <c r="J146" s="9">
        <v>3.0</v>
      </c>
      <c r="K146" s="9">
        <v>3.0</v>
      </c>
      <c r="L146" s="9">
        <v>3.0</v>
      </c>
      <c r="M146" s="9">
        <v>3.0</v>
      </c>
      <c r="N146" s="9">
        <v>3.0</v>
      </c>
      <c r="O146" s="9">
        <v>3.0</v>
      </c>
      <c r="P146" s="9">
        <v>7.0</v>
      </c>
    </row>
    <row r="147" ht="22.5" customHeight="1">
      <c r="A147" s="8">
        <v>46304.400771203706</v>
      </c>
      <c r="B147" s="9" t="s">
        <v>18</v>
      </c>
      <c r="C147" s="10">
        <v>46304.0</v>
      </c>
      <c r="D147" s="9" t="s">
        <v>19</v>
      </c>
      <c r="F147" s="9" t="s">
        <v>25</v>
      </c>
      <c r="G147" s="9" t="s">
        <v>137</v>
      </c>
      <c r="H147" s="9">
        <v>5.0</v>
      </c>
      <c r="I147" s="9">
        <v>5.0</v>
      </c>
      <c r="J147" s="9">
        <v>5.0</v>
      </c>
      <c r="K147" s="9">
        <v>5.0</v>
      </c>
      <c r="L147" s="9">
        <v>5.0</v>
      </c>
      <c r="M147" s="9">
        <v>5.0</v>
      </c>
      <c r="N147" s="9">
        <v>5.0</v>
      </c>
      <c r="O147" s="9">
        <v>5.0</v>
      </c>
      <c r="P147" s="9">
        <v>10.0</v>
      </c>
    </row>
    <row r="148" ht="22.5" customHeight="1">
      <c r="A148" s="8">
        <v>46304.816451412036</v>
      </c>
      <c r="B148" s="9" t="s">
        <v>18</v>
      </c>
      <c r="C148" s="10">
        <v>46301.0</v>
      </c>
      <c r="D148" s="9" t="s">
        <v>19</v>
      </c>
      <c r="E148" s="9" t="s">
        <v>138</v>
      </c>
      <c r="F148" s="9" t="s">
        <v>25</v>
      </c>
      <c r="G148" s="9" t="s">
        <v>26</v>
      </c>
      <c r="H148" s="9">
        <v>5.0</v>
      </c>
      <c r="I148" s="9">
        <v>5.0</v>
      </c>
      <c r="J148" s="9">
        <v>5.0</v>
      </c>
      <c r="K148" s="9">
        <v>5.0</v>
      </c>
      <c r="L148" s="9">
        <v>5.0</v>
      </c>
      <c r="M148" s="9">
        <v>5.0</v>
      </c>
      <c r="N148" s="9">
        <v>5.0</v>
      </c>
      <c r="O148" s="9">
        <v>5.0</v>
      </c>
      <c r="P148" s="9">
        <v>9.0</v>
      </c>
      <c r="Q148" s="9" t="s">
        <v>139</v>
      </c>
    </row>
    <row r="149" ht="22.5" customHeight="1">
      <c r="A149" s="8">
        <v>46305.056998935186</v>
      </c>
      <c r="B149" s="9" t="s">
        <v>18</v>
      </c>
      <c r="C149" s="10">
        <v>46301.0</v>
      </c>
      <c r="D149" s="9" t="s">
        <v>19</v>
      </c>
      <c r="E149" s="9" t="s">
        <v>20</v>
      </c>
      <c r="F149" s="9" t="s">
        <v>25</v>
      </c>
      <c r="G149" s="9" t="s">
        <v>26</v>
      </c>
      <c r="H149" s="9">
        <v>4.0</v>
      </c>
      <c r="I149" s="9">
        <v>5.0</v>
      </c>
      <c r="J149" s="9">
        <v>5.0</v>
      </c>
      <c r="K149" s="9">
        <v>4.0</v>
      </c>
      <c r="L149" s="9">
        <v>4.0</v>
      </c>
      <c r="M149" s="9">
        <v>4.0</v>
      </c>
      <c r="N149" s="9">
        <v>4.0</v>
      </c>
      <c r="O149" s="9">
        <v>4.0</v>
      </c>
      <c r="P149" s="9">
        <v>8.0</v>
      </c>
      <c r="Q149" s="9" t="s">
        <v>47</v>
      </c>
      <c r="R149" s="9" t="s">
        <v>47</v>
      </c>
    </row>
    <row r="150" ht="22.5" customHeight="1">
      <c r="A150" s="8">
        <v>46305.90242153935</v>
      </c>
      <c r="B150" s="9" t="s">
        <v>18</v>
      </c>
      <c r="C150" s="10">
        <v>46281.0</v>
      </c>
      <c r="D150" s="9" t="s">
        <v>19</v>
      </c>
      <c r="E150" s="9" t="s">
        <v>29</v>
      </c>
      <c r="F150" s="9" t="s">
        <v>25</v>
      </c>
      <c r="G150" s="9" t="s">
        <v>30</v>
      </c>
      <c r="H150" s="9">
        <v>5.0</v>
      </c>
      <c r="I150" s="9">
        <v>5.0</v>
      </c>
      <c r="J150" s="9">
        <v>5.0</v>
      </c>
      <c r="K150" s="9">
        <v>5.0</v>
      </c>
      <c r="L150" s="9">
        <v>5.0</v>
      </c>
      <c r="M150" s="9">
        <v>5.0</v>
      </c>
      <c r="N150" s="9">
        <v>5.0</v>
      </c>
      <c r="O150" s="9">
        <v>5.0</v>
      </c>
      <c r="P150" s="9">
        <v>10.0</v>
      </c>
    </row>
    <row r="151" ht="22.5" customHeight="1">
      <c r="A151" s="8">
        <v>46305.90460462963</v>
      </c>
      <c r="B151" s="9" t="s">
        <v>18</v>
      </c>
      <c r="C151" s="10">
        <v>46281.0</v>
      </c>
      <c r="D151" s="9" t="s">
        <v>19</v>
      </c>
      <c r="E151" s="9" t="s">
        <v>29</v>
      </c>
      <c r="F151" s="9" t="s">
        <v>25</v>
      </c>
      <c r="G151" s="9" t="s">
        <v>30</v>
      </c>
      <c r="H151" s="9">
        <v>5.0</v>
      </c>
      <c r="I151" s="9">
        <v>5.0</v>
      </c>
      <c r="J151" s="9">
        <v>5.0</v>
      </c>
      <c r="K151" s="9">
        <v>5.0</v>
      </c>
      <c r="M151" s="9">
        <v>5.0</v>
      </c>
      <c r="N151" s="9">
        <v>5.0</v>
      </c>
      <c r="O151" s="9">
        <v>5.0</v>
      </c>
      <c r="P151" s="9">
        <v>10.0</v>
      </c>
    </row>
    <row r="152" ht="22.5" customHeight="1">
      <c r="A152" s="8">
        <v>46305.925711874996</v>
      </c>
      <c r="B152" s="9" t="s">
        <v>18</v>
      </c>
      <c r="C152" s="10">
        <v>46302.0</v>
      </c>
      <c r="D152" s="9" t="s">
        <v>19</v>
      </c>
      <c r="E152" s="9" t="s">
        <v>140</v>
      </c>
      <c r="F152" s="9" t="s">
        <v>21</v>
      </c>
      <c r="G152" s="9" t="s">
        <v>26</v>
      </c>
      <c r="H152" s="9">
        <v>4.0</v>
      </c>
      <c r="I152" s="9">
        <v>5.0</v>
      </c>
      <c r="J152" s="9">
        <v>5.0</v>
      </c>
      <c r="K152" s="9">
        <v>4.0</v>
      </c>
      <c r="L152" s="9">
        <v>3.0</v>
      </c>
      <c r="M152" s="9">
        <v>4.0</v>
      </c>
      <c r="N152" s="9">
        <v>5.0</v>
      </c>
      <c r="O152" s="9">
        <v>4.0</v>
      </c>
      <c r="P152" s="9">
        <v>8.0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f>IFERROR(__xludf.DUMMYFUNCTION("FILTER({'Form Responses 1'!A2:A154, 'Form Responses 1'!Q2:Q154, 'Form Responses 1'!R2:R154}, ('Form Responses 1'!Q2:Q154 &lt;&gt; """") + ('Form Responses 1'!R2:R154 &lt;&gt; """"))"),45985.399512777774)</f>
        <v>45985.39951</v>
      </c>
      <c r="B1" s="2" t="str">
        <f>IFERROR(__xludf.DUMMYFUNCTION("""COMPUTED_VALUE"""),"I can say that they do what they can when helping")</f>
        <v>I can say that they do what they can when helping</v>
      </c>
      <c r="C1" s="2" t="str">
        <f>IFERROR(__xludf.DUMMYFUNCTION("""COMPUTED_VALUE"""),"there is no need")</f>
        <v>there is no need</v>
      </c>
    </row>
    <row r="2">
      <c r="A2" s="1">
        <f>IFERROR(__xludf.DUMMYFUNCTION("""COMPUTED_VALUE"""),45985.40186770834)</f>
        <v>45985.40187</v>
      </c>
      <c r="B2" s="2" t="str">
        <f>IFERROR(__xludf.DUMMYFUNCTION("""COMPUTED_VALUE"""),"It’s good")</f>
        <v>It’s good</v>
      </c>
      <c r="C2" s="2" t="str">
        <f>IFERROR(__xludf.DUMMYFUNCTION("""COMPUTED_VALUE"""),"Needs more materials")</f>
        <v>Needs more materials</v>
      </c>
    </row>
    <row r="3">
      <c r="A3" s="1">
        <f>IFERROR(__xludf.DUMMYFUNCTION("""COMPUTED_VALUE"""),45985.41493439815)</f>
        <v>45985.41493</v>
      </c>
      <c r="B3" s="2" t="str">
        <f>IFERROR(__xludf.DUMMYFUNCTION("""COMPUTED_VALUE"""),"Everyone was kind and approachable")</f>
        <v>Everyone was kind and approachable</v>
      </c>
      <c r="C3" s="2" t="str">
        <f>IFERROR(__xludf.DUMMYFUNCTION("""COMPUTED_VALUE"""),"To be more welcoming or accompany students when they enter the office, to be asked What they are there for would lessen the nervousness students feel when entering the CN Office, so that students would see how nice and approachable people are inside the o"&amp;"ffice. ")</f>
        <v>To be more welcoming or accompany students when they enter the office, to be asked What they are there for would lessen the nervousness students feel when entering the CN Office, so that students would see how nice and approachable people are inside the office. </v>
      </c>
    </row>
    <row r="4">
      <c r="A4" s="1">
        <f>IFERROR(__xludf.DUMMYFUNCTION("""COMPUTED_VALUE"""),45985.46684519676)</f>
        <v>45985.46685</v>
      </c>
      <c r="B4" s="2" t="str">
        <f>IFERROR(__xludf.DUMMYFUNCTION("""COMPUTED_VALUE"""),"GOOD")</f>
        <v>GOOD</v>
      </c>
      <c r="C4" s="2" t="str">
        <f>IFERROR(__xludf.DUMMYFUNCTION("""COMPUTED_VALUE"""),"No")</f>
        <v>No</v>
      </c>
    </row>
    <row r="5">
      <c r="A5" s="1">
        <f>IFERROR(__xludf.DUMMYFUNCTION("""COMPUTED_VALUE"""),45985.59092587963)</f>
        <v>45985.59093</v>
      </c>
      <c r="B5" s="2" t="str">
        <f>IFERROR(__xludf.DUMMYFUNCTION("""COMPUTED_VALUE"""),"It was good enough for me to understand their services.")</f>
        <v>It was good enough for me to understand their services.</v>
      </c>
      <c r="C5" s="2" t="str">
        <f>IFERROR(__xludf.DUMMYFUNCTION("""COMPUTED_VALUE"""),"In this time of sudden suspensions, mixed schedules, I hope they can provide promissory note (with due of payment).")</f>
        <v>In this time of sudden suspensions, mixed schedules, I hope they can provide promissory note (with due of payment).</v>
      </c>
    </row>
    <row r="6">
      <c r="A6" s="1">
        <f>IFERROR(__xludf.DUMMYFUNCTION("""COMPUTED_VALUE"""),45985.637243379635)</f>
        <v>45985.63724</v>
      </c>
      <c r="B6" s="2" t="str">
        <f>IFERROR(__xludf.DUMMYFUNCTION("""COMPUTED_VALUE"""),".")</f>
        <v>.</v>
      </c>
      <c r="C6" s="2" t="str">
        <f>IFERROR(__xludf.DUMMYFUNCTION("""COMPUTED_VALUE"""),".")</f>
        <v>.</v>
      </c>
    </row>
    <row r="7">
      <c r="A7" s="1">
        <f>IFERROR(__xludf.DUMMYFUNCTION("""COMPUTED_VALUE"""),45985.67505172454)</f>
        <v>45985.67505</v>
      </c>
      <c r="B7" s="2" t="str">
        <f>IFERROR(__xludf.DUMMYFUNCTION("""COMPUTED_VALUE"""),"The services that they provide is good")</f>
        <v>The services that they provide is good</v>
      </c>
      <c r="C7" s="2" t="str">
        <f>IFERROR(__xludf.DUMMYFUNCTION("""COMPUTED_VALUE"""),"My suggestion to improve the customer experience is to give a clear instructions to the student so that they will understand the process that they need to do.")</f>
        <v>My suggestion to improve the customer experience is to give a clear instructions to the student so that they will understand the process that they need to do.</v>
      </c>
    </row>
    <row r="8">
      <c r="A8" s="1">
        <f>IFERROR(__xludf.DUMMYFUNCTION("""COMPUTED_VALUE"""),45985.73783452546)</f>
        <v>45985.73783</v>
      </c>
      <c r="B8" s="2" t="str">
        <f>IFERROR(__xludf.DUMMYFUNCTION("""COMPUTED_VALUE"""),"The service provided was excellent ")</f>
        <v>The service provided was excellent </v>
      </c>
      <c r="C8" s="2" t="str">
        <f>IFERROR(__xludf.DUMMYFUNCTION("""COMPUTED_VALUE"""),"None
")</f>
        <v>None
</v>
      </c>
    </row>
    <row r="9">
      <c r="A9" s="1">
        <f>IFERROR(__xludf.DUMMYFUNCTION("""COMPUTED_VALUE"""),45986.49497109954)</f>
        <v>45986.49497</v>
      </c>
      <c r="B9" s="2" t="str">
        <f>IFERROR(__xludf.DUMMYFUNCTION("""COMPUTED_VALUE"""),"None")</f>
        <v>None</v>
      </c>
      <c r="C9" s="2" t="str">
        <f>IFERROR(__xludf.DUMMYFUNCTION("""COMPUTED_VALUE"""),"None")</f>
        <v>None</v>
      </c>
    </row>
    <row r="10">
      <c r="A10" s="1">
        <f>IFERROR(__xludf.DUMMYFUNCTION("""COMPUTED_VALUE"""),45992.357180046296)</f>
        <v>45992.35718</v>
      </c>
      <c r="B10" s="2" t="str">
        <f>IFERROR(__xludf.DUMMYFUNCTION("""COMPUTED_VALUE"""),"N/A")</f>
        <v>N/A</v>
      </c>
      <c r="C10" s="2" t="str">
        <f>IFERROR(__xludf.DUMMYFUNCTION("""COMPUTED_VALUE"""),"N/A")</f>
        <v>N/A</v>
      </c>
    </row>
    <row r="11">
      <c r="A11" s="1">
        <f>IFERROR(__xludf.DUMMYFUNCTION("""COMPUTED_VALUE"""),46011.594530069444)</f>
        <v>46011.59453</v>
      </c>
      <c r="B11" s="2" t="str">
        <f>IFERROR(__xludf.DUMMYFUNCTION("""COMPUTED_VALUE"""),"It’s okay but sometimes it takes a lot of time for a transaction")</f>
        <v>It’s okay but sometimes it takes a lot of time for a transaction</v>
      </c>
      <c r="C11" s="2"/>
    </row>
    <row r="12">
      <c r="A12" s="1">
        <f>IFERROR(__xludf.DUMMYFUNCTION("""COMPUTED_VALUE"""),46035.642506041666)</f>
        <v>46035.64251</v>
      </c>
      <c r="B12" s="2" t="str">
        <f>IFERROR(__xludf.DUMMYFUNCTION("""COMPUTED_VALUE"""),"The office provide efficient and professional services.")</f>
        <v>The office provide efficient and professional services.</v>
      </c>
      <c r="C12" s="2" t="str">
        <f>IFERROR(__xludf.DUMMYFUNCTION("""COMPUTED_VALUE"""),"Continue maintaining good service ")</f>
        <v>Continue maintaining good service </v>
      </c>
    </row>
    <row r="13">
      <c r="A13" s="1">
        <f>IFERROR(__xludf.DUMMYFUNCTION("""COMPUTED_VALUE"""),46036.03048931713)</f>
        <v>46036.03049</v>
      </c>
      <c r="B13" s="2" t="str">
        <f>IFERROR(__xludf.DUMMYFUNCTION("""COMPUTED_VALUE"""),"It’s okay but still needs improvement ")</f>
        <v>It’s okay but still needs improvement </v>
      </c>
      <c r="C13" s="2" t="str">
        <f>IFERROR(__xludf.DUMMYFUNCTION("""COMPUTED_VALUE"""),"It was good but still needs to be closer to the students or learners ")</f>
        <v>It was good but still needs to be closer to the students or learners </v>
      </c>
    </row>
    <row r="14">
      <c r="A14" s="1">
        <f>IFERROR(__xludf.DUMMYFUNCTION("""COMPUTED_VALUE"""),46036.879997118056)</f>
        <v>46036.88</v>
      </c>
      <c r="B14" s="2" t="str">
        <f>IFERROR(__xludf.DUMMYFUNCTION("""COMPUTED_VALUE"""),"Good and people there are accommodating and nice. ")</f>
        <v>Good and people there are accommodating and nice. </v>
      </c>
      <c r="C14" s="2" t="str">
        <f>IFERROR(__xludf.DUMMYFUNCTION("""COMPUTED_VALUE"""),"None ")</f>
        <v>None </v>
      </c>
    </row>
    <row r="15">
      <c r="A15" s="1">
        <f>IFERROR(__xludf.DUMMYFUNCTION("""COMPUTED_VALUE"""),46036.88187158565)</f>
        <v>46036.88187</v>
      </c>
      <c r="B15" s="2" t="str">
        <f>IFERROR(__xludf.DUMMYFUNCTION("""COMPUTED_VALUE"""),"It was straightforward and direct.")</f>
        <v>It was straightforward and direct.</v>
      </c>
      <c r="C15" s="2" t="str">
        <f>IFERROR(__xludf.DUMMYFUNCTION("""COMPUTED_VALUE"""),"Everything went smooth and I feel that it is fine as it is.")</f>
        <v>Everything went smooth and I feel that it is fine as it is.</v>
      </c>
    </row>
    <row r="16">
      <c r="A16" s="1">
        <f>IFERROR(__xludf.DUMMYFUNCTION("""COMPUTED_VALUE"""),46036.95898619213)</f>
        <v>46036.95899</v>
      </c>
      <c r="B16" s="2" t="str">
        <f>IFERROR(__xludf.DUMMYFUNCTION("""COMPUTED_VALUE"""),"Very nice, but the other test tubes aren't clean. We had to clean the other apparatus before using.")</f>
        <v>Very nice, but the other test tubes aren't clean. We had to clean the other apparatus before using.</v>
      </c>
      <c r="C16" s="2" t="str">
        <f>IFERROR(__xludf.DUMMYFUNCTION("""COMPUTED_VALUE"""),"Always make sure the cleanliness of each apparatus.")</f>
        <v>Always make sure the cleanliness of each apparatus.</v>
      </c>
    </row>
    <row r="17">
      <c r="A17" s="1">
        <f>IFERROR(__xludf.DUMMYFUNCTION("""COMPUTED_VALUE"""),46037.776100856485)</f>
        <v>46037.7761</v>
      </c>
      <c r="B17" s="2" t="str">
        <f>IFERROR(__xludf.DUMMYFUNCTION("""COMPUTED_VALUE"""),"N/A")</f>
        <v>N/A</v>
      </c>
      <c r="C17" s="2" t="str">
        <f>IFERROR(__xludf.DUMMYFUNCTION("""COMPUTED_VALUE"""),"N/A")</f>
        <v>N/A</v>
      </c>
    </row>
    <row r="18">
      <c r="A18" s="1">
        <f>IFERROR(__xludf.DUMMYFUNCTION("""COMPUTED_VALUE"""),46039.38402773148)</f>
        <v>46039.38403</v>
      </c>
      <c r="B18" s="2" t="str">
        <f>IFERROR(__xludf.DUMMYFUNCTION("""COMPUTED_VALUE"""),"good")</f>
        <v>good</v>
      </c>
      <c r="C18" s="2" t="str">
        <f>IFERROR(__xludf.DUMMYFUNCTION("""COMPUTED_VALUE"""),"none")</f>
        <v>none</v>
      </c>
    </row>
    <row r="19">
      <c r="A19" s="1">
        <f>IFERROR(__xludf.DUMMYFUNCTION("""COMPUTED_VALUE"""),46040.8730640162)</f>
        <v>46040.87306</v>
      </c>
      <c r="B19" s="2" t="str">
        <f>IFERROR(__xludf.DUMMYFUNCTION("""COMPUTED_VALUE"""),"The office provides organized and reliable services. The staff are approachable, respectful, and willing to assist when needed. Requests and concerns are handled properly, and the overall process is smooth and efficient.
")</f>
        <v>The office provides organized and reliable services. The staff are approachable, respectful, and willing to assist when needed. Requests and concerns are handled properly, and the overall process is smooth and efficient.
</v>
      </c>
      <c r="C19" s="2" t="str">
        <f>IFERROR(__xludf.DUMMYFUNCTION("""COMPUTED_VALUE"""),"To further improve customer experience, the office may consider faster processing during peak hours and clearer communication of procedures and requirements. Additional guidance or updates for students would also be helpful.")</f>
        <v>To further improve customer experience, the office may consider faster processing during peak hours and clearer communication of procedures and requirements. Additional guidance or updates for students would also be helpful.</v>
      </c>
    </row>
    <row r="20">
      <c r="A20" s="1">
        <f>IFERROR(__xludf.DUMMYFUNCTION("""COMPUTED_VALUE"""),46050.31682384259)</f>
        <v>46050.31682</v>
      </c>
      <c r="B20" s="2" t="str">
        <f>IFERROR(__xludf.DUMMYFUNCTION("""COMPUTED_VALUE"""),"no other comment whatsoever")</f>
        <v>no other comment whatsoever</v>
      </c>
      <c r="C20" s="2" t="str">
        <f>IFERROR(__xludf.DUMMYFUNCTION("""COMPUTED_VALUE"""),"air-conditioned room")</f>
        <v>air-conditioned room</v>
      </c>
    </row>
    <row r="21">
      <c r="A21" s="1">
        <f>IFERROR(__xludf.DUMMYFUNCTION("""COMPUTED_VALUE"""),46050.318083680555)</f>
        <v>46050.31808</v>
      </c>
      <c r="B21" s="2" t="str">
        <f>IFERROR(__xludf.DUMMYFUNCTION("""COMPUTED_VALUE"""),"The service provided by the office is somewhat smooth but there's a lot to process sometimes ")</f>
        <v>The service provided by the office is somewhat smooth but there's a lot to process sometimes </v>
      </c>
      <c r="C21" s="2"/>
    </row>
    <row r="22">
      <c r="A22" s="1">
        <f>IFERROR(__xludf.DUMMYFUNCTION("""COMPUTED_VALUE"""),46050.43357125)</f>
        <v>46050.43357</v>
      </c>
      <c r="B22" s="2" t="str">
        <f>IFERROR(__xludf.DUMMYFUNCTION("""COMPUTED_VALUE"""),"Good")</f>
        <v>Good</v>
      </c>
      <c r="C22" s="2" t="str">
        <f>IFERROR(__xludf.DUMMYFUNCTION("""COMPUTED_VALUE"""),"None")</f>
        <v>None</v>
      </c>
    </row>
    <row r="23">
      <c r="A23" s="1">
        <f>IFERROR(__xludf.DUMMYFUNCTION("""COMPUTED_VALUE"""),46050.44888657407)</f>
        <v>46050.44889</v>
      </c>
      <c r="B23" s="2" t="str">
        <f>IFERROR(__xludf.DUMMYFUNCTION("""COMPUTED_VALUE"""),"Nothing yall did great
")</f>
        <v>Nothing yall did great
</v>
      </c>
      <c r="C23" s="2" t="str">
        <f>IFERROR(__xludf.DUMMYFUNCTION("""COMPUTED_VALUE"""),"Nothing also it's well organized ")</f>
        <v>Nothing also it's well organized </v>
      </c>
    </row>
    <row r="24">
      <c r="A24" s="1">
        <f>IFERROR(__xludf.DUMMYFUNCTION("""COMPUTED_VALUE"""),46050.45087202547)</f>
        <v>46050.45087</v>
      </c>
      <c r="B24" s="2" t="str">
        <f>IFERROR(__xludf.DUMMYFUNCTION("""COMPUTED_VALUE"""),"Ma init Soper howr")</f>
        <v>Ma init Soper howr</v>
      </c>
      <c r="C24" s="2" t="str">
        <f>IFERROR(__xludf.DUMMYFUNCTION("""COMPUTED_VALUE"""),"Aircon")</f>
        <v>Aircon</v>
      </c>
    </row>
    <row r="25">
      <c r="A25" s="1">
        <f>IFERROR(__xludf.DUMMYFUNCTION("""COMPUTED_VALUE"""),46050.45306738426)</f>
        <v>46050.45307</v>
      </c>
      <c r="B25" s="2" t="str">
        <f>IFERROR(__xludf.DUMMYFUNCTION("""COMPUTED_VALUE"""),"waay aircon ")</f>
        <v>waay aircon </v>
      </c>
      <c r="C25" s="2" t="str">
        <f>IFERROR(__xludf.DUMMYFUNCTION("""COMPUTED_VALUE"""),"butang aircon and free WiFi ")</f>
        <v>butang aircon and free WiFi </v>
      </c>
    </row>
    <row r="26">
      <c r="A26" s="1">
        <f>IFERROR(__xludf.DUMMYFUNCTION("""COMPUTED_VALUE"""),46050.460724386576)</f>
        <v>46050.46072</v>
      </c>
      <c r="B26" s="2" t="str">
        <f>IFERROR(__xludf.DUMMYFUNCTION("""COMPUTED_VALUE"""),"Very good")</f>
        <v>Very good</v>
      </c>
      <c r="C26" s="2"/>
    </row>
    <row r="27">
      <c r="A27" s="1">
        <f>IFERROR(__xludf.DUMMYFUNCTION("""COMPUTED_VALUE"""),46050.464330613424)</f>
        <v>46050.46433</v>
      </c>
      <c r="B27" s="2" t="str">
        <f>IFERROR(__xludf.DUMMYFUNCTION("""COMPUTED_VALUE"""),"Good")</f>
        <v>Good</v>
      </c>
      <c r="C27" s="2" t="str">
        <f>IFERROR(__xludf.DUMMYFUNCTION("""COMPUTED_VALUE"""),"None")</f>
        <v>None</v>
      </c>
    </row>
    <row r="28">
      <c r="A28" s="1">
        <f>IFERROR(__xludf.DUMMYFUNCTION("""COMPUTED_VALUE"""),46050.47923527777)</f>
        <v>46050.47924</v>
      </c>
      <c r="B28" s="2" t="str">
        <f>IFERROR(__xludf.DUMMYFUNCTION("""COMPUTED_VALUE"""),"n/a")</f>
        <v>n/a</v>
      </c>
      <c r="C28" s="2" t="str">
        <f>IFERROR(__xludf.DUMMYFUNCTION("""COMPUTED_VALUE"""),"n/a")</f>
        <v>n/a</v>
      </c>
    </row>
    <row r="29">
      <c r="A29" s="1">
        <f>IFERROR(__xludf.DUMMYFUNCTION("""COMPUTED_VALUE"""),46050.486668136575)</f>
        <v>46050.48667</v>
      </c>
      <c r="B29" s="2" t="str">
        <f>IFERROR(__xludf.DUMMYFUNCTION("""COMPUTED_VALUE"""),"None")</f>
        <v>None</v>
      </c>
      <c r="C29" s="2" t="str">
        <f>IFERROR(__xludf.DUMMYFUNCTION("""COMPUTED_VALUE"""),"None")</f>
        <v>None</v>
      </c>
    </row>
    <row r="30">
      <c r="A30" s="1">
        <f>IFERROR(__xludf.DUMMYFUNCTION("""COMPUTED_VALUE"""),46050.78885841435)</f>
        <v>46050.78886</v>
      </c>
      <c r="B30" s="2" t="str">
        <f>IFERROR(__xludf.DUMMYFUNCTION("""COMPUTED_VALUE"""),"Good")</f>
        <v>Good</v>
      </c>
      <c r="C30" s="2"/>
    </row>
    <row r="31">
      <c r="A31" s="1">
        <f>IFERROR(__xludf.DUMMYFUNCTION("""COMPUTED_VALUE"""),46050.825339641204)</f>
        <v>46050.82534</v>
      </c>
      <c r="B31" s="2" t="str">
        <f>IFERROR(__xludf.DUMMYFUNCTION("""COMPUTED_VALUE"""),"The office provides helpful and efficient services. The staff are approachable, respectful, and willing to assist with concerns or requests")</f>
        <v>The office provides helpful and efficient services. The staff are approachable, respectful, and willing to assist with concerns or requests</v>
      </c>
      <c r="C31" s="2" t="str">
        <f>IFERROR(__xludf.DUMMYFUNCTION("""COMPUTED_VALUE"""),"Improve response time by streamlining procedures and reducing waiting periods")</f>
        <v>Improve response time by streamlining procedures and reducing waiting periods</v>
      </c>
    </row>
    <row r="32">
      <c r="A32" s="1">
        <f>IFERROR(__xludf.DUMMYFUNCTION("""COMPUTED_VALUE"""),46050.83418842593)</f>
        <v>46050.83419</v>
      </c>
      <c r="B32" s="2" t="str">
        <f>IFERROR(__xludf.DUMMYFUNCTION("""COMPUTED_VALUE"""),"Quick but sometimes slow :)")</f>
        <v>Quick but sometimes slow :)</v>
      </c>
      <c r="C32" s="2" t="str">
        <f>IFERROR(__xludf.DUMMYFUNCTION("""COMPUTED_VALUE"""),"More open areas")</f>
        <v>More open areas</v>
      </c>
    </row>
    <row r="33">
      <c r="A33" s="1">
        <f>IFERROR(__xludf.DUMMYFUNCTION("""COMPUTED_VALUE"""),46050.837983958336)</f>
        <v>46050.83798</v>
      </c>
      <c r="B33" s="2" t="str">
        <f>IFERROR(__xludf.DUMMYFUNCTION("""COMPUTED_VALUE"""),"good")</f>
        <v>good</v>
      </c>
      <c r="C33" s="2" t="str">
        <f>IFERROR(__xludf.DUMMYFUNCTION("""COMPUTED_VALUE"""),"none ")</f>
        <v>none </v>
      </c>
    </row>
    <row r="34">
      <c r="A34" s="1">
        <f>IFERROR(__xludf.DUMMYFUNCTION("""COMPUTED_VALUE"""),46050.84136954861)</f>
        <v>46050.84137</v>
      </c>
      <c r="B34" s="2" t="str">
        <f>IFERROR(__xludf.DUMMYFUNCTION("""COMPUTED_VALUE"""),"Good")</f>
        <v>Good</v>
      </c>
      <c r="C34" s="2" t="str">
        <f>IFERROR(__xludf.DUMMYFUNCTION("""COMPUTED_VALUE"""),"Nothing")</f>
        <v>Nothing</v>
      </c>
    </row>
    <row r="35">
      <c r="A35" s="1">
        <f>IFERROR(__xludf.DUMMYFUNCTION("""COMPUTED_VALUE"""),46050.87069646991)</f>
        <v>46050.8707</v>
      </c>
      <c r="B35" s="2" t="str">
        <f>IFERROR(__xludf.DUMMYFUNCTION("""COMPUTED_VALUE"""),"Great ")</f>
        <v>Great </v>
      </c>
      <c r="C35" s="2" t="str">
        <f>IFERROR(__xludf.DUMMYFUNCTION("""COMPUTED_VALUE"""),"My suggestion is the lab need more items or experiment things so the student like us can experiment more .")</f>
        <v>My suggestion is the lab need more items or experiment things so the student like us can experiment more .</v>
      </c>
    </row>
    <row r="36">
      <c r="A36" s="1">
        <f>IFERROR(__xludf.DUMMYFUNCTION("""COMPUTED_VALUE"""),46050.879800173614)</f>
        <v>46050.8798</v>
      </c>
      <c r="B36" s="2" t="str">
        <f>IFERROR(__xludf.DUMMYFUNCTION("""COMPUTED_VALUE"""),"The office is always ready and clean when we use or enter it")</f>
        <v>The office is always ready and clean when we use or enter it</v>
      </c>
      <c r="C36" s="2" t="str">
        <f>IFERROR(__xludf.DUMMYFUNCTION("""COMPUTED_VALUE"""),"N/A")</f>
        <v>N/A</v>
      </c>
    </row>
    <row r="37">
      <c r="A37" s="1">
        <f>IFERROR(__xludf.DUMMYFUNCTION("""COMPUTED_VALUE"""),46050.905966018516)</f>
        <v>46050.90597</v>
      </c>
      <c r="B37" s="2" t="str">
        <f>IFERROR(__xludf.DUMMYFUNCTION("""COMPUTED_VALUE"""),"Its ok and also very responsive ")</f>
        <v>Its ok and also very responsive </v>
      </c>
      <c r="C37" s="2" t="str">
        <f>IFERROR(__xludf.DUMMYFUNCTION("""COMPUTED_VALUE"""),"none")</f>
        <v>none</v>
      </c>
    </row>
    <row r="38">
      <c r="A38" s="1">
        <f>IFERROR(__xludf.DUMMYFUNCTION("""COMPUTED_VALUE"""),46081.467906238424)</f>
        <v>46081.46791</v>
      </c>
      <c r="B38" s="2" t="str">
        <f>IFERROR(__xludf.DUMMYFUNCTION("""COMPUTED_VALUE"""),"The laboratory lacks water and the sink is not functioning well, it keeps on clogging ")</f>
        <v>The laboratory lacks water and the sink is not functioning well, it keeps on clogging </v>
      </c>
      <c r="C38" s="2" t="str">
        <f>IFERROR(__xludf.DUMMYFUNCTION("""COMPUTED_VALUE"""),"Fix the sink and maintain water in the laboratory ")</f>
        <v>Fix the sink and maintain water in the laboratory </v>
      </c>
    </row>
    <row r="39">
      <c r="A39" s="1">
        <f>IFERROR(__xludf.DUMMYFUNCTION("""COMPUTED_VALUE"""),46081.46965861111)</f>
        <v>46081.46966</v>
      </c>
      <c r="B39" s="2" t="str">
        <f>IFERROR(__xludf.DUMMYFUNCTION("""COMPUTED_VALUE"""),"The laboratory is very helpful to us students when creating our research/capstone projects. It serves as a place where we create our products and leave it to monitor for days. The only problem is that cleanliness is sometimes not maintained due to the ite"&amp;"ms used and the lack of water. And since this is where we leave our products, it becomes messy. However, the services provided is good and the cleanliness is followed by students and teachers every week.")</f>
        <v>The laboratory is very helpful to us students when creating our research/capstone projects. It serves as a place where we create our products and leave it to monitor for days. The only problem is that cleanliness is sometimes not maintained due to the items used and the lack of water. And since this is where we leave our products, it becomes messy. However, the services provided is good and the cleanliness is followed by students and teachers every week.</v>
      </c>
      <c r="C39" s="2" t="str">
        <f>IFERROR(__xludf.DUMMYFUNCTION("""COMPUTED_VALUE"""),"The lack of water and the sink drainage is the main problem, so I suggest it get fixed immediately in order to follow and maintain the cleanliness of the apparatus and the whole lab. ")</f>
        <v>The lack of water and the sink drainage is the main problem, so I suggest it get fixed immediately in order to follow and maintain the cleanliness of the apparatus and the whole lab. </v>
      </c>
    </row>
    <row r="40">
      <c r="A40" s="1">
        <f>IFERROR(__xludf.DUMMYFUNCTION("""COMPUTED_VALUE"""),46081.46989115741)</f>
        <v>46081.46989</v>
      </c>
      <c r="B40" s="2" t="str">
        <f>IFERROR(__xludf.DUMMYFUNCTION("""COMPUTED_VALUE"""),"The services provided by the office are good and efficient. The staff are accommodating, responsive, and professional in handling concerns. Overall, the service quality is satisfactory and meets expectations.")</f>
        <v>The services provided by the office are good and efficient. The staff are accommodating, responsive, and professional in handling concerns. Overall, the service quality is satisfactory and meets expectations.</v>
      </c>
      <c r="C40" s="2" t="str">
        <f>IFERROR(__xludf.DUMMYFUNCTION("""COMPUTED_VALUE"""),"While the service is good, I suggest fixing the clogged sink as soon as possible. A properly functioning sink is important to maintain cleanliness and hygiene in the office. Addressing this issue will help improve the overall comfort and experience of cli"&amp;"ents and staff.")</f>
        <v>While the service is good, I suggest fixing the clogged sink as soon as possible. A properly functioning sink is important to maintain cleanliness and hygiene in the office. Addressing this issue will help improve the overall comfort and experience of clients and staff.</v>
      </c>
    </row>
    <row r="41">
      <c r="A41" s="1">
        <f>IFERROR(__xludf.DUMMYFUNCTION("""COMPUTED_VALUE"""),46081.4713008449)</f>
        <v>46081.4713</v>
      </c>
      <c r="B41" s="2" t="str">
        <f>IFERROR(__xludf.DUMMYFUNCTION("""COMPUTED_VALUE"""),"It was good overall, but my bother or concern is the water and the sink that is clogged, which us students who are using it find it difficult to use the water.")</f>
        <v>It was good overall, but my bother or concern is the water and the sink that is clogged, which us students who are using it find it difficult to use the water.</v>
      </c>
      <c r="C41" s="2" t="str">
        <f>IFERROR(__xludf.DUMMYFUNCTION("""COMPUTED_VALUE"""),"My suggestion would be for the sink and the water be fixed so that we can easily use and do not have to fetch or go outside the lab just to get a water.")</f>
        <v>My suggestion would be for the sink and the water be fixed so that we can easily use and do not have to fetch or go outside the lab just to get a water.</v>
      </c>
    </row>
    <row r="42">
      <c r="A42" s="1">
        <f>IFERROR(__xludf.DUMMYFUNCTION("""COMPUTED_VALUE"""),46081.474545590274)</f>
        <v>46081.47455</v>
      </c>
      <c r="B42" s="2" t="str">
        <f>IFERROR(__xludf.DUMMYFUNCTION("""COMPUTED_VALUE"""),"The staff in the facility are very approachable and helpful and the lab apparatuses are also complete and efficient for us to conduct our experiments, however in terms of the water system of the lab it is very bothering because the water at the sink from "&amp;"time to time is very slow and most of the time does not work at all because of that we have to fetch water from the comfort rooms which is very time consuming and tiring for us, mean while the drainage of the sink at the laboratory is not good at all beca"&amp;"use it clogs most of the time.")</f>
        <v>The staff in the facility are very approachable and helpful and the lab apparatuses are also complete and efficient for us to conduct our experiments, however in terms of the water system of the lab it is very bothering because the water at the sink from time to time is very slow and most of the time does not work at all because of that we have to fetch water from the comfort rooms which is very time consuming and tiring for us, mean while the drainage of the sink at the laboratory is not good at all because it clogs most of the time.</v>
      </c>
      <c r="C42" s="2" t="str">
        <f>IFERROR(__xludf.DUMMYFUNCTION("""COMPUTED_VALUE"""),"The only problem that the laboratory has is the water and drainage, which I hope can be looked at as soon as possible, because it hinders us students from properly performing our experiments and wastes our time with having to fetch water from time to time"&amp;", which can lead to us not being able to pass our outputs at the right time or even fail at our experiments which is crucial for our grades.")</f>
        <v>The only problem that the laboratory has is the water and drainage, which I hope can be looked at as soon as possible, because it hinders us students from properly performing our experiments and wastes our time with having to fetch water from time to time, which can lead to us not being able to pass our outputs at the right time or even fail at our experiments which is crucial for our grades.</v>
      </c>
    </row>
    <row r="43">
      <c r="A43" s="1">
        <f>IFERROR(__xludf.DUMMYFUNCTION("""COMPUTED_VALUE"""),46303.48641548611)</f>
        <v>46303.48642</v>
      </c>
      <c r="B43" s="2" t="str">
        <f>IFERROR(__xludf.DUMMYFUNCTION("""COMPUTED_VALUE"""),"nothing")</f>
        <v>nothing</v>
      </c>
      <c r="C43" s="2" t="str">
        <f>IFERROR(__xludf.DUMMYFUNCTION("""COMPUTED_VALUE"""),"n/a")</f>
        <v>n/a</v>
      </c>
    </row>
    <row r="44">
      <c r="A44" s="1">
        <f>IFERROR(__xludf.DUMMYFUNCTION("""COMPUTED_VALUE"""),46303.48782837963)</f>
        <v>46303.48783</v>
      </c>
      <c r="B44" s="2" t="str">
        <f>IFERROR(__xludf.DUMMYFUNCTION("""COMPUTED_VALUE"""),"Its pretty good and they’re very accomodating")</f>
        <v>Its pretty good and they’re very accomodating</v>
      </c>
      <c r="C44" s="2" t="str">
        <f>IFERROR(__xludf.DUMMYFUNCTION("""COMPUTED_VALUE"""),"I hope they could expand and have some kind of customer service that can improve the process for waiting and having a transaction")</f>
        <v>I hope they could expand and have some kind of customer service that can improve the process for waiting and having a transaction</v>
      </c>
    </row>
    <row r="45">
      <c r="A45" s="1">
        <f>IFERROR(__xludf.DUMMYFUNCTION("""COMPUTED_VALUE"""),46303.49909686342)</f>
        <v>46303.4991</v>
      </c>
      <c r="B45" s="2" t="str">
        <f>IFERROR(__xludf.DUMMYFUNCTION("""COMPUTED_VALUE"""),"None")</f>
        <v>None</v>
      </c>
      <c r="C45" s="2" t="str">
        <f>IFERROR(__xludf.DUMMYFUNCTION("""COMPUTED_VALUE"""),"None")</f>
        <v>None</v>
      </c>
    </row>
    <row r="46">
      <c r="A46" s="1">
        <f>IFERROR(__xludf.DUMMYFUNCTION("""COMPUTED_VALUE"""),46303.5344469213)</f>
        <v>46303.53445</v>
      </c>
      <c r="B46" s="2" t="str">
        <f>IFERROR(__xludf.DUMMYFUNCTION("""COMPUTED_VALUE"""),"N/A")</f>
        <v>N/A</v>
      </c>
      <c r="C46" s="2" t="str">
        <f>IFERROR(__xludf.DUMMYFUNCTION("""COMPUTED_VALUE"""),"N/A")</f>
        <v>N/A</v>
      </c>
    </row>
    <row r="47">
      <c r="A47" s="1">
        <f>IFERROR(__xludf.DUMMYFUNCTION("""COMPUTED_VALUE"""),46303.536993622685)</f>
        <v>46303.53699</v>
      </c>
      <c r="B47" s="2" t="str">
        <f>IFERROR(__xludf.DUMMYFUNCTION("""COMPUTED_VALUE"""),"None")</f>
        <v>None</v>
      </c>
      <c r="C47" s="2" t="str">
        <f>IFERROR(__xludf.DUMMYFUNCTION("""COMPUTED_VALUE"""),"None")</f>
        <v>None</v>
      </c>
    </row>
    <row r="48">
      <c r="A48" s="1">
        <f>IFERROR(__xludf.DUMMYFUNCTION("""COMPUTED_VALUE"""),46303.53768497685)</f>
        <v>46303.53768</v>
      </c>
      <c r="B48" s="2" t="str">
        <f>IFERROR(__xludf.DUMMYFUNCTION("""COMPUTED_VALUE"""),"good")</f>
        <v>good</v>
      </c>
      <c r="C48" s="2" t="str">
        <f>IFERROR(__xludf.DUMMYFUNCTION("""COMPUTED_VALUE"""),"n/a")</f>
        <v>n/a</v>
      </c>
    </row>
    <row r="49">
      <c r="A49" s="1">
        <f>IFERROR(__xludf.DUMMYFUNCTION("""COMPUTED_VALUE"""),46303.60724113426)</f>
        <v>46303.60724</v>
      </c>
      <c r="B49" s="2" t="str">
        <f>IFERROR(__xludf.DUMMYFUNCTION("""COMPUTED_VALUE"""),"good")</f>
        <v>good</v>
      </c>
      <c r="C49" s="2" t="str">
        <f>IFERROR(__xludf.DUMMYFUNCTION("""COMPUTED_VALUE"""),"nothing")</f>
        <v>nothing</v>
      </c>
    </row>
    <row r="50">
      <c r="A50" s="1">
        <f>IFERROR(__xludf.DUMMYFUNCTION("""COMPUTED_VALUE"""),46303.67244409722)</f>
        <v>46303.67244</v>
      </c>
      <c r="B50" s="2" t="str">
        <f>IFERROR(__xludf.DUMMYFUNCTION("""COMPUTED_VALUE"""),"N/A")</f>
        <v>N/A</v>
      </c>
      <c r="C50" s="2" t="str">
        <f>IFERROR(__xludf.DUMMYFUNCTION("""COMPUTED_VALUE"""),"nothing")</f>
        <v>nothing</v>
      </c>
    </row>
    <row r="51">
      <c r="A51" s="1">
        <f>IFERROR(__xludf.DUMMYFUNCTION("""COMPUTED_VALUE"""),46303.675115474536)</f>
        <v>46303.67512</v>
      </c>
      <c r="B51" s="2" t="str">
        <f>IFERROR(__xludf.DUMMYFUNCTION("""COMPUTED_VALUE"""),"None at the monet")</f>
        <v>None at the monet</v>
      </c>
      <c r="C51" s="2" t="str">
        <f>IFERROR(__xludf.DUMMYFUNCTION("""COMPUTED_VALUE"""),"none at the moment")</f>
        <v>none at the moment</v>
      </c>
    </row>
    <row r="52">
      <c r="A52" s="1">
        <f>IFERROR(__xludf.DUMMYFUNCTION("""COMPUTED_VALUE"""),46304.816451412036)</f>
        <v>46304.81645</v>
      </c>
      <c r="B52" s="2" t="str">
        <f>IFERROR(__xludf.DUMMYFUNCTION("""COMPUTED_VALUE"""),"Excellent ")</f>
        <v>Excellent </v>
      </c>
      <c r="C52" s="2"/>
    </row>
    <row r="53">
      <c r="A53" s="1">
        <f>IFERROR(__xludf.DUMMYFUNCTION("""COMPUTED_VALUE"""),46305.056998935186)</f>
        <v>46305.057</v>
      </c>
      <c r="B53" s="2" t="str">
        <f>IFERROR(__xludf.DUMMYFUNCTION("""COMPUTED_VALUE"""),"None")</f>
        <v>None</v>
      </c>
      <c r="C53" s="2" t="str">
        <f>IFERROR(__xludf.DUMMYFUNCTION("""COMPUTED_VALUE"""),"None")</f>
        <v>None</v>
      </c>
    </row>
  </sheetData>
  <drawing r:id="rId1"/>
</worksheet>
</file>