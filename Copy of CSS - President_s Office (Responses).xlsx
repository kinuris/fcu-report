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<sst xmlns="http://schemas.openxmlformats.org/spreadsheetml/2006/main" count="143" uniqueCount="63">
  <si>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</si>
  <si>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</si>
  <si>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</si>
  <si>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</si>
  <si>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</si>
  <si>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</si>
  <si>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 xml:space="preserve">Services Availed:  President's Office 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</si>
  <si>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</si>
  <si>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</si>
  <si>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</si>
  <si>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</si>
  <si>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</si>
  <si>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</si>
  <si>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</si>
  <si>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</si>
  <si>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</si>
  <si>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the services provided by the office? </t>
  </si>
  <si>
    <t xml:space="preserve">What are your suggestions to improve customer experience with this office? </t>
  </si>
  <si>
    <t>I AGREE</t>
  </si>
  <si>
    <t>Student</t>
  </si>
  <si>
    <t>Female</t>
  </si>
  <si>
    <t>Providing General Supervision</t>
  </si>
  <si>
    <t>VVVVVERY GOOD MANNERS AND RIGHT CONDUCT🎉</t>
  </si>
  <si>
    <t xml:space="preserve">Always be open for improvements </t>
  </si>
  <si>
    <t>Follow up letter</t>
  </si>
  <si>
    <t>Very helpful</t>
  </si>
  <si>
    <t>None, just keep up the good work.</t>
  </si>
  <si>
    <t>NA</t>
  </si>
  <si>
    <t>Male</t>
  </si>
  <si>
    <t>Providing General Supervision, Transaction</t>
  </si>
  <si>
    <t>Napaka kind nila and accomodating! ✨</t>
  </si>
  <si>
    <t>I have nothing in mind</t>
  </si>
  <si>
    <t>Guest</t>
  </si>
  <si>
    <t>N/A</t>
  </si>
  <si>
    <t>Oversees all administrative and financial operation of the University.</t>
  </si>
  <si>
    <t>Mga mabuting puso, Mapakumbaba at higit sa lahat Maganda at Cute</t>
  </si>
  <si>
    <t xml:space="preserve">Nothing </t>
  </si>
  <si>
    <t>Faculty/Staff</t>
  </si>
  <si>
    <t>Prefer not to say</t>
  </si>
  <si>
    <t xml:space="preserve">Processing request </t>
  </si>
  <si>
    <t>Very accommodating and always willing to help.</t>
  </si>
  <si>
    <t>Chtm</t>
  </si>
  <si>
    <t xml:space="preserve">Activity </t>
  </si>
  <si>
    <t>Nothing</t>
  </si>
  <si>
    <t>Alumni</t>
  </si>
  <si>
    <t xml:space="preserve">Forwarding a letter </t>
  </si>
  <si>
    <t>Great Job! Your attention to detail and commitment to quality really stood out.</t>
  </si>
  <si>
    <t xml:space="preserve">All goods naman </t>
  </si>
  <si>
    <t>Forward Docs</t>
  </si>
  <si>
    <t xml:space="preserve">none </t>
  </si>
  <si>
    <t>none</t>
  </si>
  <si>
    <t>Services</t>
  </si>
  <si>
    <t xml:space="preserve">Providing General Supervision, Carries out general policies set by the governing board., </t>
  </si>
  <si>
    <t xml:space="preserve">Providing General Supervision, sign promissory note </t>
  </si>
  <si>
    <t>Parent/Guardian</t>
  </si>
  <si>
    <t>forward docs</t>
  </si>
  <si>
    <t>signing of letter</t>
  </si>
  <si>
    <t>process letter for research</t>
  </si>
  <si>
    <t>very helpful and accomodating</t>
  </si>
  <si>
    <t>Providing General Supervision, Oversees all administrative and financial operation of the University.</t>
  </si>
  <si>
    <t>do activity task</t>
  </si>
  <si>
    <t>Goods</t>
  </si>
  <si>
    <t>Nothing's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</si>
</sst>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7" displayName="Form_Responses" name="Form_Responses" id="1"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 President's Office 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6" width="18.88"/>
    <col customWidth="1" min="7" max="7" width="31.5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45946.70518230324</v>
      </c>
      <c r="B2" s="3" t="s">
        <v>18</v>
      </c>
      <c r="C2" s="4">
        <v>45946.0</v>
      </c>
      <c r="D2" s="3" t="s">
        <v>19</v>
      </c>
      <c r="E2" s="5"/>
      <c r="F2" s="3" t="s">
        <v>20</v>
      </c>
      <c r="G2" s="3" t="s">
        <v>21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10.0</v>
      </c>
      <c r="Q2" s="3" t="s">
        <v>22</v>
      </c>
      <c r="R2" s="3" t="s">
        <v>23</v>
      </c>
    </row>
    <row r="3" ht="22.5" customHeight="1">
      <c r="A3" s="2">
        <v>45974.61972981482</v>
      </c>
      <c r="B3" s="3" t="s">
        <v>18</v>
      </c>
      <c r="C3" s="4">
        <v>45974.0</v>
      </c>
      <c r="D3" s="3" t="s">
        <v>19</v>
      </c>
      <c r="E3" s="5"/>
      <c r="F3" s="3" t="s">
        <v>20</v>
      </c>
      <c r="G3" s="3" t="s">
        <v>24</v>
      </c>
      <c r="H3" s="3">
        <v>5.0</v>
      </c>
      <c r="I3" s="3">
        <v>5.0</v>
      </c>
      <c r="J3" s="3">
        <v>5.0</v>
      </c>
      <c r="K3" s="3">
        <v>5.0</v>
      </c>
      <c r="L3" s="5"/>
      <c r="M3" s="3">
        <v>5.0</v>
      </c>
      <c r="N3" s="3">
        <v>5.0</v>
      </c>
      <c r="O3" s="3">
        <v>5.0</v>
      </c>
      <c r="P3" s="3">
        <v>10.0</v>
      </c>
      <c r="Q3" s="3" t="s">
        <v>25</v>
      </c>
      <c r="R3" s="3" t="s">
        <v>26</v>
      </c>
    </row>
    <row r="4" ht="22.5" customHeight="1">
      <c r="A4" s="2">
        <v>45978.70592173611</v>
      </c>
      <c r="B4" s="3" t="s">
        <v>18</v>
      </c>
      <c r="C4" s="4">
        <v>45978.0</v>
      </c>
      <c r="D4" s="3" t="s">
        <v>19</v>
      </c>
      <c r="E4" s="3" t="s">
        <v>27</v>
      </c>
      <c r="F4" s="3" t="s">
        <v>28</v>
      </c>
      <c r="G4" s="3" t="s">
        <v>29</v>
      </c>
      <c r="H4" s="3">
        <v>5.0</v>
      </c>
      <c r="I4" s="3">
        <v>4.0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9.0</v>
      </c>
      <c r="Q4" s="3" t="s">
        <v>30</v>
      </c>
      <c r="R4" s="3" t="s">
        <v>31</v>
      </c>
    </row>
    <row r="5" ht="22.5" customHeight="1">
      <c r="A5" s="2">
        <v>45978.70630229167</v>
      </c>
      <c r="B5" s="3" t="s">
        <v>18</v>
      </c>
      <c r="C5" s="4">
        <v>45978.0</v>
      </c>
      <c r="D5" s="3" t="s">
        <v>32</v>
      </c>
      <c r="E5" s="3" t="s">
        <v>33</v>
      </c>
      <c r="F5" s="3" t="s">
        <v>28</v>
      </c>
      <c r="G5" s="3" t="s">
        <v>34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10.0</v>
      </c>
      <c r="Q5" s="3" t="s">
        <v>35</v>
      </c>
      <c r="R5" s="3" t="s">
        <v>36</v>
      </c>
    </row>
    <row r="6" ht="22.5" customHeight="1">
      <c r="A6" s="2">
        <v>45978.71202118056</v>
      </c>
      <c r="B6" s="3" t="s">
        <v>18</v>
      </c>
      <c r="C6" s="4">
        <v>45974.0</v>
      </c>
      <c r="D6" s="3" t="s">
        <v>37</v>
      </c>
      <c r="E6" s="5"/>
      <c r="F6" s="3" t="s">
        <v>38</v>
      </c>
      <c r="G6" s="3" t="s">
        <v>39</v>
      </c>
      <c r="H6" s="3">
        <v>5.0</v>
      </c>
      <c r="I6" s="3">
        <v>5.0</v>
      </c>
      <c r="J6" s="3">
        <v>5.0</v>
      </c>
      <c r="K6" s="3">
        <v>5.0</v>
      </c>
      <c r="L6" s="5"/>
      <c r="M6" s="3">
        <v>5.0</v>
      </c>
      <c r="N6" s="3">
        <v>5.0</v>
      </c>
      <c r="O6" s="3">
        <v>5.0</v>
      </c>
      <c r="P6" s="3">
        <v>10.0</v>
      </c>
      <c r="Q6" s="3" t="s">
        <v>40</v>
      </c>
      <c r="R6" s="5"/>
    </row>
    <row r="7" ht="22.5" customHeight="1">
      <c r="A7" s="2">
        <v>45979.46801090278</v>
      </c>
      <c r="B7" s="3" t="s">
        <v>18</v>
      </c>
      <c r="C7" s="4">
        <v>45979.0</v>
      </c>
      <c r="D7" s="3" t="s">
        <v>19</v>
      </c>
      <c r="E7" s="3" t="s">
        <v>41</v>
      </c>
      <c r="F7" s="3" t="s">
        <v>28</v>
      </c>
      <c r="G7" s="3" t="s">
        <v>42</v>
      </c>
      <c r="H7" s="3">
        <v>2.0</v>
      </c>
      <c r="I7" s="3">
        <v>2.0</v>
      </c>
      <c r="J7" s="3">
        <v>2.0</v>
      </c>
      <c r="K7" s="3">
        <v>2.0</v>
      </c>
      <c r="L7" s="3">
        <v>2.0</v>
      </c>
      <c r="M7" s="3">
        <v>2.0</v>
      </c>
      <c r="N7" s="3">
        <v>2.0</v>
      </c>
      <c r="O7" s="3">
        <v>3.0</v>
      </c>
      <c r="P7" s="3">
        <v>6.0</v>
      </c>
      <c r="Q7" s="3" t="s">
        <v>43</v>
      </c>
      <c r="R7" s="3" t="s">
        <v>36</v>
      </c>
    </row>
    <row r="8" ht="22.5" customHeight="1">
      <c r="A8" s="2">
        <v>45979.69370883102</v>
      </c>
      <c r="B8" s="3" t="s">
        <v>18</v>
      </c>
      <c r="C8" s="4">
        <v>45978.0</v>
      </c>
      <c r="D8" s="3" t="s">
        <v>44</v>
      </c>
      <c r="E8" s="5"/>
      <c r="F8" s="3" t="s">
        <v>20</v>
      </c>
      <c r="G8" s="3" t="s">
        <v>45</v>
      </c>
      <c r="H8" s="3">
        <v>5.0</v>
      </c>
      <c r="I8" s="3">
        <v>5.0</v>
      </c>
      <c r="J8" s="3">
        <v>5.0</v>
      </c>
      <c r="K8" s="3">
        <v>5.0</v>
      </c>
      <c r="L8" s="5"/>
      <c r="M8" s="3">
        <v>5.0</v>
      </c>
      <c r="N8" s="3">
        <v>5.0</v>
      </c>
      <c r="O8" s="3">
        <v>5.0</v>
      </c>
      <c r="P8" s="3">
        <v>10.0</v>
      </c>
      <c r="Q8" s="3" t="s">
        <v>46</v>
      </c>
      <c r="R8" s="5"/>
    </row>
    <row r="9" ht="22.5" customHeight="1">
      <c r="A9" s="2">
        <v>45980.35227690972</v>
      </c>
      <c r="B9" s="3" t="s">
        <v>18</v>
      </c>
      <c r="C9" s="4">
        <v>45980.0</v>
      </c>
      <c r="D9" s="3" t="s">
        <v>32</v>
      </c>
      <c r="E9" s="5"/>
      <c r="F9" s="3" t="s">
        <v>38</v>
      </c>
      <c r="G9" s="3" t="s">
        <v>34</v>
      </c>
      <c r="H9" s="3">
        <v>5.0</v>
      </c>
      <c r="I9" s="3">
        <v>5.0</v>
      </c>
      <c r="J9" s="3">
        <v>5.0</v>
      </c>
      <c r="K9" s="3">
        <v>5.0</v>
      </c>
      <c r="L9" s="3">
        <v>5.0</v>
      </c>
      <c r="M9" s="3">
        <v>5.0</v>
      </c>
      <c r="N9" s="3">
        <v>5.0</v>
      </c>
      <c r="O9" s="3">
        <v>5.0</v>
      </c>
      <c r="P9" s="3">
        <v>10.0</v>
      </c>
      <c r="Q9" s="3" t="s">
        <v>47</v>
      </c>
      <c r="R9" s="5"/>
    </row>
    <row r="10" ht="22.5" customHeight="1">
      <c r="A10" s="2">
        <v>45980.35237443287</v>
      </c>
      <c r="B10" s="3" t="s">
        <v>18</v>
      </c>
      <c r="C10" s="4">
        <v>45980.0</v>
      </c>
      <c r="D10" s="3" t="s">
        <v>19</v>
      </c>
      <c r="E10" s="5"/>
      <c r="F10" s="3" t="s">
        <v>20</v>
      </c>
      <c r="G10" s="3" t="s">
        <v>48</v>
      </c>
      <c r="H10" s="3">
        <v>5.0</v>
      </c>
      <c r="I10" s="3">
        <v>4.0</v>
      </c>
      <c r="J10" s="3">
        <v>5.0</v>
      </c>
      <c r="K10" s="3">
        <v>5.0</v>
      </c>
      <c r="L10" s="3">
        <v>4.0</v>
      </c>
      <c r="M10" s="3">
        <v>5.0</v>
      </c>
      <c r="N10" s="3">
        <v>5.0</v>
      </c>
      <c r="O10" s="3">
        <v>5.0</v>
      </c>
      <c r="P10" s="3">
        <v>10.0</v>
      </c>
      <c r="Q10" s="3" t="s">
        <v>49</v>
      </c>
      <c r="R10" s="3" t="s">
        <v>50</v>
      </c>
    </row>
    <row r="11" ht="22.5" customHeight="1">
      <c r="A11" s="2">
        <v>45980.37958502315</v>
      </c>
      <c r="B11" s="3" t="s">
        <v>18</v>
      </c>
      <c r="C11" s="4">
        <v>45980.0</v>
      </c>
      <c r="D11" s="3" t="s">
        <v>19</v>
      </c>
      <c r="E11" s="5"/>
      <c r="F11" s="3" t="s">
        <v>20</v>
      </c>
      <c r="G11" s="3" t="s">
        <v>51</v>
      </c>
      <c r="H11" s="3">
        <v>5.0</v>
      </c>
      <c r="I11" s="3">
        <v>5.0</v>
      </c>
      <c r="J11" s="3">
        <v>5.0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9.0</v>
      </c>
      <c r="Q11" s="5"/>
      <c r="R11" s="5"/>
    </row>
    <row r="12" ht="22.5" customHeight="1">
      <c r="A12" s="6">
        <v>46049.44135768518</v>
      </c>
      <c r="B12" s="7" t="s">
        <v>18</v>
      </c>
      <c r="C12" s="8">
        <v>46049.0</v>
      </c>
      <c r="D12" s="7" t="s">
        <v>32</v>
      </c>
      <c r="F12" s="7" t="s">
        <v>28</v>
      </c>
      <c r="G12" s="7" t="s">
        <v>21</v>
      </c>
      <c r="H12" s="7">
        <v>5.0</v>
      </c>
      <c r="I12" s="7">
        <v>5.0</v>
      </c>
      <c r="J12" s="7">
        <v>5.0</v>
      </c>
      <c r="K12" s="7">
        <v>5.0</v>
      </c>
      <c r="L12" s="7">
        <v>5.0</v>
      </c>
      <c r="M12" s="7">
        <v>5.0</v>
      </c>
      <c r="N12" s="7">
        <v>4.0</v>
      </c>
      <c r="O12" s="7">
        <v>5.0</v>
      </c>
      <c r="P12" s="7">
        <v>9.0</v>
      </c>
    </row>
    <row r="13" ht="22.5" customHeight="1">
      <c r="A13" s="6">
        <v>46049.44151952546</v>
      </c>
      <c r="B13" s="7" t="s">
        <v>18</v>
      </c>
      <c r="C13" s="8">
        <v>46049.0</v>
      </c>
      <c r="D13" s="7" t="s">
        <v>32</v>
      </c>
      <c r="F13" s="7" t="s">
        <v>28</v>
      </c>
      <c r="G13" s="7" t="s">
        <v>21</v>
      </c>
      <c r="H13" s="7">
        <v>5.0</v>
      </c>
      <c r="I13" s="7">
        <v>5.0</v>
      </c>
      <c r="J13" s="7">
        <v>5.0</v>
      </c>
      <c r="K13" s="7">
        <v>5.0</v>
      </c>
      <c r="L13" s="7">
        <v>5.0</v>
      </c>
      <c r="M13" s="7">
        <v>5.0</v>
      </c>
      <c r="N13" s="7">
        <v>4.0</v>
      </c>
      <c r="O13" s="7">
        <v>5.0</v>
      </c>
      <c r="P13" s="7">
        <v>9.0</v>
      </c>
    </row>
    <row r="14" ht="22.5" customHeight="1">
      <c r="A14" s="6">
        <v>46049.441891724535</v>
      </c>
      <c r="B14" s="7" t="s">
        <v>18</v>
      </c>
      <c r="C14" s="8">
        <v>46049.0</v>
      </c>
      <c r="D14" s="7" t="s">
        <v>19</v>
      </c>
      <c r="F14" s="7" t="s">
        <v>20</v>
      </c>
      <c r="G14" s="7" t="s">
        <v>21</v>
      </c>
      <c r="H14" s="7">
        <v>5.0</v>
      </c>
      <c r="I14" s="7">
        <v>5.0</v>
      </c>
      <c r="J14" s="7">
        <v>5.0</v>
      </c>
      <c r="K14" s="7">
        <v>5.0</v>
      </c>
      <c r="L14" s="7">
        <v>5.0</v>
      </c>
      <c r="M14" s="7">
        <v>5.0</v>
      </c>
      <c r="N14" s="7">
        <v>5.0</v>
      </c>
      <c r="O14" s="7">
        <v>5.0</v>
      </c>
      <c r="P14" s="7">
        <v>10.0</v>
      </c>
    </row>
    <row r="15" ht="22.5" customHeight="1">
      <c r="A15" s="6">
        <v>46049.44229464121</v>
      </c>
      <c r="B15" s="7" t="s">
        <v>18</v>
      </c>
      <c r="C15" s="8">
        <v>46049.0</v>
      </c>
      <c r="D15" s="7" t="s">
        <v>19</v>
      </c>
      <c r="F15" s="7" t="s">
        <v>20</v>
      </c>
      <c r="G15" s="7" t="s">
        <v>34</v>
      </c>
      <c r="H15" s="7">
        <v>4.0</v>
      </c>
      <c r="I15" s="7">
        <v>5.0</v>
      </c>
      <c r="J15" s="7">
        <v>5.0</v>
      </c>
      <c r="K15" s="7">
        <v>5.0</v>
      </c>
      <c r="L15" s="7">
        <v>5.0</v>
      </c>
      <c r="M15" s="7">
        <v>5.0</v>
      </c>
      <c r="N15" s="7">
        <v>4.0</v>
      </c>
      <c r="O15" s="7">
        <v>5.0</v>
      </c>
      <c r="P15" s="7">
        <v>8.0</v>
      </c>
    </row>
    <row r="16" ht="22.5" customHeight="1">
      <c r="A16" s="6">
        <v>46049.443235</v>
      </c>
      <c r="B16" s="7" t="s">
        <v>18</v>
      </c>
      <c r="C16" s="8">
        <v>46037.0</v>
      </c>
      <c r="D16" s="7" t="s">
        <v>19</v>
      </c>
      <c r="F16" s="7" t="s">
        <v>28</v>
      </c>
      <c r="G16" s="7" t="s">
        <v>52</v>
      </c>
      <c r="H16" s="7">
        <v>5.0</v>
      </c>
      <c r="I16" s="7">
        <v>5.0</v>
      </c>
      <c r="J16" s="7">
        <v>5.0</v>
      </c>
      <c r="K16" s="7">
        <v>5.0</v>
      </c>
      <c r="L16" s="7">
        <v>5.0</v>
      </c>
      <c r="M16" s="7">
        <v>5.0</v>
      </c>
      <c r="N16" s="7">
        <v>5.0</v>
      </c>
      <c r="O16" s="7">
        <v>5.0</v>
      </c>
      <c r="P16" s="7">
        <v>10.0</v>
      </c>
    </row>
    <row r="17" ht="22.5" customHeight="1">
      <c r="A17" s="6">
        <v>46049.444786886575</v>
      </c>
      <c r="B17" s="7" t="s">
        <v>18</v>
      </c>
      <c r="C17" s="8">
        <v>46042.0</v>
      </c>
      <c r="D17" s="7" t="s">
        <v>19</v>
      </c>
      <c r="F17" s="7" t="s">
        <v>20</v>
      </c>
      <c r="G17" s="7" t="s">
        <v>53</v>
      </c>
      <c r="H17" s="7">
        <v>5.0</v>
      </c>
      <c r="I17" s="7">
        <v>5.0</v>
      </c>
      <c r="J17" s="7">
        <v>3.0</v>
      </c>
      <c r="K17" s="7">
        <v>5.0</v>
      </c>
      <c r="L17" s="7">
        <v>5.0</v>
      </c>
      <c r="M17" s="7">
        <v>5.0</v>
      </c>
      <c r="N17" s="7">
        <v>4.0</v>
      </c>
      <c r="O17" s="7">
        <v>5.0</v>
      </c>
      <c r="P17" s="7">
        <v>10.0</v>
      </c>
    </row>
    <row r="18" ht="22.5" customHeight="1">
      <c r="A18" s="6">
        <v>46049.447242546295</v>
      </c>
      <c r="B18" s="7" t="s">
        <v>18</v>
      </c>
      <c r="C18" s="8">
        <v>46041.0</v>
      </c>
      <c r="D18" s="7" t="s">
        <v>54</v>
      </c>
      <c r="F18" s="7" t="s">
        <v>20</v>
      </c>
      <c r="G18" s="7" t="s">
        <v>55</v>
      </c>
      <c r="H18" s="7">
        <v>5.0</v>
      </c>
      <c r="I18" s="7">
        <v>5.0</v>
      </c>
      <c r="J18" s="7">
        <v>5.0</v>
      </c>
      <c r="K18" s="7">
        <v>5.0</v>
      </c>
      <c r="L18" s="7">
        <v>5.0</v>
      </c>
      <c r="M18" s="7">
        <v>5.0</v>
      </c>
      <c r="N18" s="7">
        <v>5.0</v>
      </c>
      <c r="O18" s="7">
        <v>5.0</v>
      </c>
      <c r="P18" s="7">
        <v>10.0</v>
      </c>
    </row>
    <row r="19" ht="22.5" customHeight="1">
      <c r="A19" s="6">
        <v>46055.5974346875</v>
      </c>
      <c r="B19" s="7" t="s">
        <v>18</v>
      </c>
      <c r="C19" s="8">
        <v>45979.0</v>
      </c>
      <c r="D19" s="7" t="s">
        <v>19</v>
      </c>
      <c r="F19" s="7" t="s">
        <v>28</v>
      </c>
      <c r="G19" s="7" t="s">
        <v>21</v>
      </c>
      <c r="H19" s="7">
        <v>3.0</v>
      </c>
      <c r="I19" s="7">
        <v>3.0</v>
      </c>
      <c r="J19" s="7">
        <v>3.0</v>
      </c>
      <c r="K19" s="7">
        <v>1.0</v>
      </c>
      <c r="L19" s="7">
        <v>5.0</v>
      </c>
      <c r="M19" s="7">
        <v>3.0</v>
      </c>
      <c r="N19" s="7">
        <v>3.0</v>
      </c>
      <c r="O19" s="7">
        <v>3.0</v>
      </c>
      <c r="P19" s="7">
        <v>10.0</v>
      </c>
    </row>
    <row r="20" ht="22.5" customHeight="1">
      <c r="A20" s="6">
        <v>46055.59817701389</v>
      </c>
      <c r="B20" s="7" t="s">
        <v>18</v>
      </c>
      <c r="C20" s="8">
        <v>45979.0</v>
      </c>
      <c r="D20" s="7" t="s">
        <v>19</v>
      </c>
      <c r="F20" s="7" t="s">
        <v>20</v>
      </c>
      <c r="G20" s="7" t="s">
        <v>21</v>
      </c>
      <c r="H20" s="7">
        <v>5.0</v>
      </c>
      <c r="I20" s="7">
        <v>4.0</v>
      </c>
      <c r="J20" s="7">
        <v>5.0</v>
      </c>
      <c r="K20" s="7">
        <v>5.0</v>
      </c>
      <c r="L20" s="7">
        <v>4.0</v>
      </c>
      <c r="M20" s="7">
        <v>5.0</v>
      </c>
      <c r="N20" s="7">
        <v>5.0</v>
      </c>
      <c r="O20" s="7">
        <v>5.0</v>
      </c>
      <c r="P20" s="7">
        <v>6.0</v>
      </c>
    </row>
    <row r="21" ht="22.5" customHeight="1">
      <c r="A21" s="6">
        <v>46055.598769641205</v>
      </c>
      <c r="B21" s="7" t="s">
        <v>18</v>
      </c>
      <c r="C21" s="8">
        <v>45978.0</v>
      </c>
      <c r="D21" s="7" t="s">
        <v>19</v>
      </c>
      <c r="F21" s="7" t="s">
        <v>20</v>
      </c>
      <c r="G21" s="7" t="s">
        <v>34</v>
      </c>
      <c r="I21" s="7">
        <v>5.0</v>
      </c>
      <c r="J21" s="7">
        <v>5.0</v>
      </c>
      <c r="K21" s="7">
        <v>5.0</v>
      </c>
      <c r="L21" s="7">
        <v>4.0</v>
      </c>
      <c r="M21" s="7">
        <v>4.0</v>
      </c>
      <c r="N21" s="7">
        <v>4.0</v>
      </c>
      <c r="O21" s="7">
        <v>4.0</v>
      </c>
      <c r="P21" s="7">
        <v>10.0</v>
      </c>
    </row>
    <row r="22" ht="22.5" customHeight="1">
      <c r="A22" s="6">
        <v>46055.599607199074</v>
      </c>
      <c r="B22" s="7" t="s">
        <v>18</v>
      </c>
      <c r="C22" s="8">
        <v>45979.0</v>
      </c>
      <c r="D22" s="7" t="s">
        <v>19</v>
      </c>
      <c r="F22" s="7" t="s">
        <v>28</v>
      </c>
      <c r="G22" s="7" t="s">
        <v>56</v>
      </c>
      <c r="H22" s="7">
        <v>4.0</v>
      </c>
      <c r="I22" s="7">
        <v>4.0</v>
      </c>
      <c r="J22" s="7">
        <v>5.0</v>
      </c>
      <c r="K22" s="7">
        <v>4.0</v>
      </c>
      <c r="M22" s="7">
        <v>5.0</v>
      </c>
      <c r="N22" s="7">
        <v>5.0</v>
      </c>
      <c r="O22" s="7">
        <v>4.0</v>
      </c>
      <c r="P22" s="7">
        <v>9.0</v>
      </c>
    </row>
    <row r="23" ht="22.5" customHeight="1">
      <c r="A23" s="6">
        <v>46055.60016212963</v>
      </c>
      <c r="B23" s="7" t="s">
        <v>18</v>
      </c>
      <c r="C23" s="8">
        <v>45979.0</v>
      </c>
      <c r="D23" s="7" t="s">
        <v>19</v>
      </c>
      <c r="F23" s="7" t="s">
        <v>20</v>
      </c>
      <c r="G23" s="7" t="s">
        <v>21</v>
      </c>
      <c r="H23" s="7">
        <v>5.0</v>
      </c>
      <c r="I23" s="7">
        <v>5.0</v>
      </c>
      <c r="J23" s="7">
        <v>5.0</v>
      </c>
      <c r="K23" s="7">
        <v>5.0</v>
      </c>
      <c r="L23" s="7">
        <v>5.0</v>
      </c>
      <c r="M23" s="7">
        <v>5.0</v>
      </c>
      <c r="N23" s="7">
        <v>5.0</v>
      </c>
      <c r="O23" s="7">
        <v>5.0</v>
      </c>
      <c r="P23" s="7">
        <v>10.0</v>
      </c>
    </row>
    <row r="24" ht="22.5" customHeight="1">
      <c r="A24" s="6">
        <v>46055.601246307866</v>
      </c>
      <c r="B24" s="7" t="s">
        <v>18</v>
      </c>
      <c r="C24" s="8">
        <v>45979.0</v>
      </c>
      <c r="D24" s="7" t="s">
        <v>32</v>
      </c>
      <c r="F24" s="7" t="s">
        <v>20</v>
      </c>
      <c r="G24" s="7" t="s">
        <v>57</v>
      </c>
      <c r="H24" s="7">
        <v>5.0</v>
      </c>
      <c r="I24" s="7">
        <v>5.0</v>
      </c>
      <c r="J24" s="7">
        <v>5.0</v>
      </c>
      <c r="K24" s="7">
        <v>5.0</v>
      </c>
      <c r="M24" s="7">
        <v>5.0</v>
      </c>
      <c r="N24" s="7">
        <v>5.0</v>
      </c>
      <c r="O24" s="7">
        <v>5.0</v>
      </c>
      <c r="P24" s="7">
        <v>10.0</v>
      </c>
      <c r="Q24" s="7" t="s">
        <v>58</v>
      </c>
    </row>
    <row r="25" ht="22.5" customHeight="1">
      <c r="A25" s="6">
        <v>46055.60176730324</v>
      </c>
      <c r="B25" s="7" t="s">
        <v>18</v>
      </c>
      <c r="C25" s="8">
        <v>45979.0</v>
      </c>
      <c r="D25" s="7" t="s">
        <v>19</v>
      </c>
      <c r="F25" s="7" t="s">
        <v>20</v>
      </c>
      <c r="G25" s="7" t="s">
        <v>59</v>
      </c>
      <c r="H25" s="7">
        <v>5.0</v>
      </c>
      <c r="I25" s="7">
        <v>5.0</v>
      </c>
      <c r="J25" s="7">
        <v>5.0</v>
      </c>
      <c r="K25" s="7">
        <v>5.0</v>
      </c>
      <c r="L25" s="7">
        <v>5.0</v>
      </c>
      <c r="M25" s="7">
        <v>5.0</v>
      </c>
      <c r="N25" s="7">
        <v>5.0</v>
      </c>
      <c r="O25" s="7">
        <v>5.0</v>
      </c>
      <c r="P25" s="7">
        <v>10.0</v>
      </c>
    </row>
    <row r="26" ht="22.5" customHeight="1">
      <c r="A26" s="6">
        <v>46055.60241806713</v>
      </c>
      <c r="B26" s="7" t="s">
        <v>18</v>
      </c>
      <c r="C26" s="8">
        <v>45979.0</v>
      </c>
      <c r="D26" s="7" t="s">
        <v>19</v>
      </c>
      <c r="F26" s="7" t="s">
        <v>28</v>
      </c>
      <c r="G26" s="7" t="s">
        <v>60</v>
      </c>
      <c r="H26" s="7">
        <v>5.0</v>
      </c>
      <c r="I26" s="7">
        <v>5.0</v>
      </c>
      <c r="J26" s="7">
        <v>5.0</v>
      </c>
      <c r="K26" s="7">
        <v>5.0</v>
      </c>
      <c r="L26" s="7">
        <v>5.0</v>
      </c>
      <c r="M26" s="7">
        <v>5.0</v>
      </c>
      <c r="N26" s="7">
        <v>5.0</v>
      </c>
      <c r="O26" s="7">
        <v>5.0</v>
      </c>
      <c r="P26" s="7">
        <v>10.0</v>
      </c>
    </row>
    <row r="27" ht="22.5" customHeight="1">
      <c r="A27" s="6">
        <v>46066.45483357639</v>
      </c>
      <c r="B27" s="7" t="s">
        <v>18</v>
      </c>
      <c r="C27" s="8">
        <v>46066.0</v>
      </c>
      <c r="D27" s="7" t="s">
        <v>19</v>
      </c>
      <c r="F27" s="7" t="s">
        <v>28</v>
      </c>
      <c r="G27" s="7" t="s">
        <v>21</v>
      </c>
      <c r="H27" s="7">
        <v>5.0</v>
      </c>
      <c r="I27" s="7">
        <v>5.0</v>
      </c>
      <c r="J27" s="7">
        <v>5.0</v>
      </c>
      <c r="K27" s="7">
        <v>5.0</v>
      </c>
      <c r="L27" s="7">
        <v>5.0</v>
      </c>
      <c r="M27" s="7">
        <v>5.0</v>
      </c>
      <c r="N27" s="7">
        <v>5.0</v>
      </c>
      <c r="O27" s="7">
        <v>5.0</v>
      </c>
      <c r="P27" s="7">
        <v>10.0</v>
      </c>
      <c r="Q27" s="7" t="s">
        <v>61</v>
      </c>
      <c r="R27" s="7" t="s">
        <v>62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f>IFERROR(__xludf.DUMMYFUNCTION("FILTER({'Form Responses 1'!A2:A121, 'Form Responses 1'!Q2:Q121, 'Form Responses 1'!R2:R121}, ('Form Responses 1'!Q2:Q121 &lt;&gt; """") + ('Form Responses 1'!R2:R121 &lt;&gt; """"))"),45946.70518230324)</f>
        <v>45946.70518</v>
      </c>
      <c r="B1" s="10" t="str">
        <f>IFERROR(__xludf.DUMMYFUNCTION("""COMPUTED_VALUE"""),"VVVVVERY GOOD MANNERS AND RIGHT CONDUCT🎉")</f>
        <v>VVVVVERY GOOD MANNERS AND RIGHT CONDUCT🎉</v>
      </c>
      <c r="C1" s="10" t="str">
        <f>IFERROR(__xludf.DUMMYFUNCTION("""COMPUTED_VALUE"""),"Always be open for improvements ")</f>
        <v>Always be open for improvements </v>
      </c>
    </row>
    <row r="2">
      <c r="A2" s="9">
        <f>IFERROR(__xludf.DUMMYFUNCTION("""COMPUTED_VALUE"""),45974.61972981482)</f>
        <v>45974.61973</v>
      </c>
      <c r="B2" s="10" t="str">
        <f>IFERROR(__xludf.DUMMYFUNCTION("""COMPUTED_VALUE"""),"Very helpful")</f>
        <v>Very helpful</v>
      </c>
      <c r="C2" s="10" t="str">
        <f>IFERROR(__xludf.DUMMYFUNCTION("""COMPUTED_VALUE"""),"None, just keep up the good work.")</f>
        <v>None, just keep up the good work.</v>
      </c>
    </row>
    <row r="3">
      <c r="A3" s="9">
        <f>IFERROR(__xludf.DUMMYFUNCTION("""COMPUTED_VALUE"""),45978.70592173611)</f>
        <v>45978.70592</v>
      </c>
      <c r="B3" s="10" t="str">
        <f>IFERROR(__xludf.DUMMYFUNCTION("""COMPUTED_VALUE"""),"Napaka kind nila and accomodating! ✨")</f>
        <v>Napaka kind nila and accomodating! ✨</v>
      </c>
      <c r="C3" s="10" t="str">
        <f>IFERROR(__xludf.DUMMYFUNCTION("""COMPUTED_VALUE"""),"I have nothing in mind")</f>
        <v>I have nothing in mind</v>
      </c>
    </row>
    <row r="4">
      <c r="A4" s="9">
        <f>IFERROR(__xludf.DUMMYFUNCTION("""COMPUTED_VALUE"""),45978.70630229167)</f>
        <v>45978.7063</v>
      </c>
      <c r="B4" s="10" t="str">
        <f>IFERROR(__xludf.DUMMYFUNCTION("""COMPUTED_VALUE"""),"Mga mabuting puso, Mapakumbaba at higit sa lahat Maganda at Cute")</f>
        <v>Mga mabuting puso, Mapakumbaba at higit sa lahat Maganda at Cute</v>
      </c>
      <c r="C4" s="10" t="str">
        <f>IFERROR(__xludf.DUMMYFUNCTION("""COMPUTED_VALUE"""),"Nothing ")</f>
        <v>Nothing </v>
      </c>
    </row>
    <row r="5">
      <c r="A5" s="9">
        <f>IFERROR(__xludf.DUMMYFUNCTION("""COMPUTED_VALUE"""),45978.71202118056)</f>
        <v>45978.71202</v>
      </c>
      <c r="B5" s="10" t="str">
        <f>IFERROR(__xludf.DUMMYFUNCTION("""COMPUTED_VALUE"""),"Very accommodating and always willing to help.")</f>
        <v>Very accommodating and always willing to help.</v>
      </c>
      <c r="C5" s="10"/>
    </row>
    <row r="6">
      <c r="A6" s="9">
        <f>IFERROR(__xludf.DUMMYFUNCTION("""COMPUTED_VALUE"""),45979.46801090278)</f>
        <v>45979.46801</v>
      </c>
      <c r="B6" s="10" t="str">
        <f>IFERROR(__xludf.DUMMYFUNCTION("""COMPUTED_VALUE"""),"Nothing")</f>
        <v>Nothing</v>
      </c>
      <c r="C6" s="10" t="str">
        <f>IFERROR(__xludf.DUMMYFUNCTION("""COMPUTED_VALUE"""),"Nothing ")</f>
        <v>Nothing </v>
      </c>
    </row>
    <row r="7">
      <c r="A7" s="9">
        <f>IFERROR(__xludf.DUMMYFUNCTION("""COMPUTED_VALUE"""),45979.69370883102)</f>
        <v>45979.69371</v>
      </c>
      <c r="B7" s="10" t="str">
        <f>IFERROR(__xludf.DUMMYFUNCTION("""COMPUTED_VALUE"""),"Great Job! Your attention to detail and commitment to quality really stood out.")</f>
        <v>Great Job! Your attention to detail and commitment to quality really stood out.</v>
      </c>
      <c r="C7" s="10"/>
    </row>
    <row r="8">
      <c r="A8" s="9">
        <f>IFERROR(__xludf.DUMMYFUNCTION("""COMPUTED_VALUE"""),45980.35227690972)</f>
        <v>45980.35228</v>
      </c>
      <c r="B8" s="10" t="str">
        <f>IFERROR(__xludf.DUMMYFUNCTION("""COMPUTED_VALUE"""),"All goods naman ")</f>
        <v>All goods naman </v>
      </c>
      <c r="C8" s="10"/>
    </row>
    <row r="9">
      <c r="A9" s="9">
        <f>IFERROR(__xludf.DUMMYFUNCTION("""COMPUTED_VALUE"""),45980.35237443287)</f>
        <v>45980.35237</v>
      </c>
      <c r="B9" s="10" t="str">
        <f>IFERROR(__xludf.DUMMYFUNCTION("""COMPUTED_VALUE"""),"none ")</f>
        <v>none </v>
      </c>
      <c r="C9" s="10" t="str">
        <f>IFERROR(__xludf.DUMMYFUNCTION("""COMPUTED_VALUE"""),"none")</f>
        <v>none</v>
      </c>
    </row>
    <row r="10">
      <c r="A10" s="9">
        <f>IFERROR(__xludf.DUMMYFUNCTION("""COMPUTED_VALUE"""),46055.601246307866)</f>
        <v>46055.60125</v>
      </c>
      <c r="B10" s="10" t="str">
        <f>IFERROR(__xludf.DUMMYFUNCTION("""COMPUTED_VALUE"""),"very helpful and accomodating")</f>
        <v>very helpful and accomodating</v>
      </c>
      <c r="C10" s="10"/>
    </row>
    <row r="11">
      <c r="A11" s="9">
        <f>IFERROR(__xludf.DUMMYFUNCTION("""COMPUTED_VALUE"""),46066.45483357639)</f>
        <v>46066.45483</v>
      </c>
      <c r="B11" s="10" t="str">
        <f>IFERROR(__xludf.DUMMYFUNCTION("""COMPUTED_VALUE"""),"Goods")</f>
        <v>Goods</v>
      </c>
      <c r="C11" s="10" t="str">
        <f>IFERROR(__xludf.DUMMYFUNCTION("""COMPUTED_VALUE"""),"Nothing's")</f>
        <v>Nothing's</v>
      </c>
    </row>
  </sheetData>
  <drawing r:id="rId1"/>
</worksheet>
</file>