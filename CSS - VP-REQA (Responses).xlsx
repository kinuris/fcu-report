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<sst xmlns="http://schemas.openxmlformats.org/spreadsheetml/2006/main" count="174" uniqueCount="55">
  <si>
    <t>Timestamp</t>
  </si>
  <si>
    <t xml:space="preserve">By clicking I AGREE, I am giving consent to FCU to collect and process the information I will give. I acknowledge that this information will solely be used for client satisfaction survey purposes and will not be shared to any third party organization or other affiliation. </t>
  </si>
  <si>
    <t>Date of Transaction</t>
  </si>
  <si>
    <t>Client Type</t>
  </si>
  <si>
    <t>Unit/Affiliation</t>
  </si>
  <si>
    <t>Sex</t>
  </si>
  <si>
    <t>Services Availed: VP-REIID</t>
  </si>
  <si>
    <r>
      <rPr>
        <rFont val="Arial"/>
        <b/>
        <i/>
        <color theme="1"/>
      </rPr>
      <t>RESPONSIVENESS</t>
    </r>
    <r>
      <rPr>
        <rFont val="Arial"/>
        <color theme="1"/>
      </rPr>
      <t xml:space="preserve">
I spent a reasonable amount of time completing my transaction.</t>
    </r>
  </si>
  <si>
    <r>
      <rPr>
        <rFont val="Arial"/>
        <b/>
        <color theme="1"/>
      </rPr>
      <t>RELIABILITY</t>
    </r>
    <r>
      <rPr>
        <rFont val="Arial"/>
        <color theme="1"/>
      </rPr>
      <t xml:space="preserve">
My transaction with the office is consistent with the specified requirements and steps.</t>
    </r>
  </si>
  <si>
    <r>
      <rPr>
        <rFont val="Arial"/>
        <b/>
        <color theme="1"/>
      </rPr>
      <t>ACCESS AND FACILITIES</t>
    </r>
    <r>
      <rPr>
        <rFont val="Arial"/>
        <color theme="1"/>
      </rPr>
      <t xml:space="preserve">
My transaction, including steps and payments was simple and convenient. The service was provided in a conducive environment.</t>
    </r>
  </si>
  <si>
    <r>
      <rPr>
        <rFont val="Arial"/>
        <b/>
        <color theme="1"/>
      </rPr>
      <t>COMMUNICATION</t>
    </r>
    <r>
      <rPr>
        <rFont val="Arial"/>
        <color theme="1"/>
      </rPr>
      <t xml:space="preserve">
The office promptly and clearly communicated the details of my request.</t>
    </r>
  </si>
  <si>
    <r>
      <rPr>
        <rFont val="Arial"/>
        <b/>
        <color theme="1"/>
      </rPr>
      <t>COSTS</t>
    </r>
    <r>
      <rPr>
        <rFont val="Arial"/>
        <color theme="1"/>
      </rPr>
      <t xml:space="preserve">
The fees I paid for my transaction were fair and reasonable.</t>
    </r>
  </si>
  <si>
    <r>
      <rPr>
        <rFont val="Arial"/>
        <b/>
        <color theme="1"/>
      </rPr>
      <t>INTEGRITY</t>
    </r>
    <r>
      <rPr>
        <rFont val="Arial"/>
        <color theme="1"/>
      </rPr>
      <t xml:space="preserve">
The office treated me fairly and honestly during my transaction.</t>
    </r>
  </si>
  <si>
    <r>
      <rPr>
        <rFont val="Arial"/>
        <b/>
        <color theme="1"/>
      </rPr>
      <t>ASSURANCE</t>
    </r>
    <r>
      <rPr>
        <rFont val="Arial"/>
        <color theme="1"/>
      </rPr>
      <t xml:space="preserve">
I was treated professionally by a knowledgeable and polite staff.</t>
    </r>
  </si>
  <si>
    <r>
      <rPr>
        <rFont val="Arial"/>
        <b/>
        <color theme="1"/>
      </rPr>
      <t>OUTCOME</t>
    </r>
    <r>
      <rPr>
        <rFont val="Arial"/>
        <color theme="1"/>
      </rPr>
      <t xml:space="preserve">
I’m satisfied with my overall transaction with the office.</t>
    </r>
  </si>
  <si>
    <t xml:space="preserve">How likely are you to recommend our services to others? </t>
  </si>
  <si>
    <t xml:space="preserve">What can you comment about the services provided by the office? </t>
  </si>
  <si>
    <t xml:space="preserve">What are your suggestions to improve customer experience with this office? </t>
  </si>
  <si>
    <t>I AGREE</t>
  </si>
  <si>
    <t>Faculty/Staff</t>
  </si>
  <si>
    <t>Faculty</t>
  </si>
  <si>
    <t>Male</t>
  </si>
  <si>
    <t>Document Processing</t>
  </si>
  <si>
    <t>Female</t>
  </si>
  <si>
    <t>Request of data</t>
  </si>
  <si>
    <t>Student</t>
  </si>
  <si>
    <t xml:space="preserve">Chtm </t>
  </si>
  <si>
    <t>VP-Admin</t>
  </si>
  <si>
    <t>Prefer not to say</t>
  </si>
  <si>
    <t xml:space="preserve">Property </t>
  </si>
  <si>
    <t xml:space="preserve">Kindergarten </t>
  </si>
  <si>
    <t>Community extension/outreach office</t>
  </si>
  <si>
    <t xml:space="preserve">Rcec </t>
  </si>
  <si>
    <t xml:space="preserve">good service, responds instantly </t>
  </si>
  <si>
    <t>none</t>
  </si>
  <si>
    <t>NA</t>
  </si>
  <si>
    <t xml:space="preserve">Document Processing, </t>
  </si>
  <si>
    <t xml:space="preserve">Graduate School </t>
  </si>
  <si>
    <t xml:space="preserve">The service in VP-Reqa is excellent </t>
  </si>
  <si>
    <t>There should be an office renovation because their office looks old</t>
  </si>
  <si>
    <t>N/A</t>
  </si>
  <si>
    <t>barrow thesis book</t>
  </si>
  <si>
    <t>The staff are very alert and attentive in providing services</t>
  </si>
  <si>
    <t>None</t>
  </si>
  <si>
    <t xml:space="preserve">Good </t>
  </si>
  <si>
    <t xml:space="preserve">Good 
</t>
  </si>
  <si>
    <t>Banking</t>
  </si>
  <si>
    <t>Research assistance</t>
  </si>
  <si>
    <t>Excellent</t>
  </si>
  <si>
    <t>spacious office for clients</t>
  </si>
  <si>
    <t>Alumni</t>
  </si>
  <si>
    <t>Bureau of Internal Revenue</t>
  </si>
  <si>
    <t>I have no other comments</t>
  </si>
  <si>
    <t>I have no suggestions because my experience is already very good</t>
  </si>
  <si>
    <t>Grad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</si>
</sst>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33" displayName="Form_Responses" name="Form_Responses" id="1">
  <tableColumns count="18">
    <tableColumn name="Timestamp" id="1"/>
    <tableColumn name="By clicking I AGREE, I am giving consent to FCU to collect and process the information I will give. I acknowledge that this information will solely be used for client satisfaction survey purposes and will not be shared to any third party organization or other affiliation. " id="2"/>
    <tableColumn name="Date of Transaction" id="3"/>
    <tableColumn name="Client Type" id="4"/>
    <tableColumn name="Unit/Affiliation" id="5"/>
    <tableColumn name="Sex" id="6"/>
    <tableColumn name="Services Availed: VP-REIID" id="7"/>
    <tableColumn name="RESPONSIVENESS_x000a_I spent a reasonable amount of time completing my transaction." id="8"/>
    <tableColumn name="RELIABILITY_x000a_My transaction with the office is consistent with the specified requirements and steps." id="9"/>
    <tableColumn name="ACCESS AND FACILITIES_x000a_My transaction, including steps and payments was simple and convenient. The service was provided in a conducive environment." id="10"/>
    <tableColumn name="COMMUNICATION_x000a_The office promptly and clearly communicated the details of my request." id="11"/>
    <tableColumn name="COSTS_x000a_The fees I paid for my transaction were fair and reasonable." id="12"/>
    <tableColumn name="INTEGRITY_x000a_The office treated me fairly and honestly during my transaction." id="13"/>
    <tableColumn name="ASSURANCE_x000a_I was treated professionally by a knowledgeable and polite staff." id="14"/>
    <tableColumn name="OUTCOME_x000a_I’m satisfied with my overall transaction with the office." id="15"/>
    <tableColumn name="How likely are you to recommend our services to others? " id="16"/>
    <tableColumn name="What can you comment about the services provided by the office? " id="17"/>
    <tableColumn name="What are your suggestions to improve customer experience with this office? 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63"/>
    <col customWidth="1" min="4" max="6" width="18.88"/>
    <col customWidth="1" min="7" max="7" width="24.63"/>
    <col customWidth="1" min="8" max="18" width="37.63"/>
    <col customWidth="1" min="19" max="24" width="18.88"/>
  </cols>
  <sheetData>
    <row r="1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ht="22.5" customHeight="1">
      <c r="A2" s="4">
        <v>45979.560221921296</v>
      </c>
      <c r="B2" s="5" t="s">
        <v>18</v>
      </c>
      <c r="C2" s="6">
        <v>45979.0</v>
      </c>
      <c r="D2" s="5" t="s">
        <v>19</v>
      </c>
      <c r="E2" s="5" t="s">
        <v>20</v>
      </c>
      <c r="F2" s="5" t="s">
        <v>21</v>
      </c>
      <c r="G2" s="5" t="s">
        <v>22</v>
      </c>
      <c r="H2" s="5">
        <v>5.0</v>
      </c>
      <c r="I2" s="5">
        <v>4.0</v>
      </c>
      <c r="J2" s="5">
        <v>5.0</v>
      </c>
      <c r="K2" s="5">
        <v>5.0</v>
      </c>
      <c r="L2" s="5">
        <v>5.0</v>
      </c>
      <c r="M2" s="5">
        <v>4.0</v>
      </c>
      <c r="N2" s="5">
        <v>5.0</v>
      </c>
      <c r="O2" s="5">
        <v>4.0</v>
      </c>
      <c r="P2" s="5">
        <v>9.0</v>
      </c>
      <c r="Q2" s="7"/>
      <c r="R2" s="7"/>
    </row>
    <row r="3" ht="22.5" customHeight="1">
      <c r="A3" s="8">
        <v>46066.45030034722</v>
      </c>
      <c r="B3" s="9" t="s">
        <v>18</v>
      </c>
      <c r="C3" s="10">
        <v>46066.0</v>
      </c>
      <c r="D3" s="9" t="s">
        <v>19</v>
      </c>
      <c r="F3" s="9" t="s">
        <v>23</v>
      </c>
      <c r="G3" s="9" t="s">
        <v>22</v>
      </c>
      <c r="H3" s="9">
        <v>5.0</v>
      </c>
      <c r="I3" s="9">
        <v>5.0</v>
      </c>
      <c r="J3" s="9">
        <v>5.0</v>
      </c>
      <c r="K3" s="9">
        <v>5.0</v>
      </c>
      <c r="L3" s="9">
        <v>5.0</v>
      </c>
      <c r="M3" s="9">
        <v>5.0</v>
      </c>
      <c r="N3" s="9">
        <v>5.0</v>
      </c>
      <c r="O3" s="9">
        <v>5.0</v>
      </c>
      <c r="P3" s="9">
        <v>10.0</v>
      </c>
    </row>
    <row r="4" ht="22.5" customHeight="1">
      <c r="A4" s="8">
        <v>46066.55272789352</v>
      </c>
      <c r="B4" s="9" t="s">
        <v>18</v>
      </c>
      <c r="C4" s="10">
        <v>46066.0</v>
      </c>
      <c r="D4" s="9" t="s">
        <v>19</v>
      </c>
      <c r="F4" s="9" t="s">
        <v>23</v>
      </c>
      <c r="G4" s="9" t="s">
        <v>24</v>
      </c>
      <c r="H4" s="9">
        <v>5.0</v>
      </c>
      <c r="I4" s="9">
        <v>5.0</v>
      </c>
      <c r="J4" s="9">
        <v>4.0</v>
      </c>
      <c r="K4" s="9">
        <v>5.0</v>
      </c>
      <c r="M4" s="9">
        <v>4.0</v>
      </c>
      <c r="N4" s="9">
        <v>5.0</v>
      </c>
      <c r="O4" s="9">
        <v>4.0</v>
      </c>
      <c r="P4" s="9">
        <v>8.0</v>
      </c>
    </row>
    <row r="5" ht="22.5" customHeight="1">
      <c r="A5" s="8">
        <v>46066.64184574074</v>
      </c>
      <c r="B5" s="9" t="s">
        <v>18</v>
      </c>
      <c r="C5" s="10">
        <v>46066.0</v>
      </c>
      <c r="D5" s="9" t="s">
        <v>25</v>
      </c>
      <c r="F5" s="9" t="s">
        <v>23</v>
      </c>
      <c r="G5" s="9" t="s">
        <v>22</v>
      </c>
      <c r="H5" s="9">
        <v>5.0</v>
      </c>
      <c r="I5" s="9">
        <v>5.0</v>
      </c>
      <c r="J5" s="9">
        <v>5.0</v>
      </c>
      <c r="K5" s="9">
        <v>5.0</v>
      </c>
      <c r="L5" s="9">
        <v>5.0</v>
      </c>
      <c r="M5" s="9">
        <v>5.0</v>
      </c>
      <c r="N5" s="9">
        <v>5.0</v>
      </c>
      <c r="O5" s="9">
        <v>5.0</v>
      </c>
      <c r="P5" s="9">
        <v>10.0</v>
      </c>
    </row>
    <row r="6" ht="22.5" customHeight="1">
      <c r="A6" s="8">
        <v>46066.64262600694</v>
      </c>
      <c r="B6" s="9" t="s">
        <v>18</v>
      </c>
      <c r="C6" s="10">
        <v>46066.0</v>
      </c>
      <c r="D6" s="9" t="s">
        <v>25</v>
      </c>
      <c r="F6" s="9" t="s">
        <v>23</v>
      </c>
      <c r="G6" s="9" t="s">
        <v>22</v>
      </c>
      <c r="H6" s="9">
        <v>1.0</v>
      </c>
      <c r="I6" s="9">
        <v>2.0</v>
      </c>
      <c r="J6" s="9">
        <v>4.0</v>
      </c>
      <c r="K6" s="9">
        <v>5.0</v>
      </c>
      <c r="L6" s="9">
        <v>5.0</v>
      </c>
      <c r="M6" s="9">
        <v>5.0</v>
      </c>
      <c r="N6" s="9">
        <v>5.0</v>
      </c>
      <c r="O6" s="9">
        <v>5.0</v>
      </c>
      <c r="P6" s="9">
        <v>10.0</v>
      </c>
    </row>
    <row r="7" ht="22.5" customHeight="1">
      <c r="A7" s="8">
        <v>46069.442288356484</v>
      </c>
      <c r="B7" s="9" t="s">
        <v>18</v>
      </c>
      <c r="C7" s="10">
        <v>46069.0</v>
      </c>
      <c r="D7" s="9" t="s">
        <v>25</v>
      </c>
      <c r="E7" s="9" t="s">
        <v>26</v>
      </c>
      <c r="F7" s="9" t="s">
        <v>23</v>
      </c>
      <c r="G7" s="9" t="s">
        <v>22</v>
      </c>
      <c r="H7" s="9">
        <v>4.0</v>
      </c>
      <c r="I7" s="9">
        <v>4.0</v>
      </c>
      <c r="J7" s="9">
        <v>4.0</v>
      </c>
      <c r="K7" s="9">
        <v>4.0</v>
      </c>
      <c r="L7" s="9">
        <v>4.0</v>
      </c>
      <c r="M7" s="9">
        <v>3.0</v>
      </c>
      <c r="N7" s="9">
        <v>4.0</v>
      </c>
      <c r="O7" s="9">
        <v>3.0</v>
      </c>
      <c r="P7" s="9">
        <v>9.0</v>
      </c>
    </row>
    <row r="8" ht="22.5" customHeight="1">
      <c r="A8" s="8">
        <v>46076.42273443287</v>
      </c>
      <c r="B8" s="9" t="s">
        <v>18</v>
      </c>
      <c r="C8" s="10">
        <v>46076.0</v>
      </c>
      <c r="D8" s="9" t="s">
        <v>19</v>
      </c>
      <c r="E8" s="9" t="s">
        <v>27</v>
      </c>
      <c r="F8" s="9" t="s">
        <v>28</v>
      </c>
      <c r="G8" s="9" t="s">
        <v>22</v>
      </c>
      <c r="H8" s="9">
        <v>4.0</v>
      </c>
      <c r="I8" s="9">
        <v>5.0</v>
      </c>
      <c r="J8" s="9">
        <v>5.0</v>
      </c>
      <c r="K8" s="9">
        <v>4.0</v>
      </c>
      <c r="L8" s="9">
        <v>5.0</v>
      </c>
      <c r="M8" s="9">
        <v>5.0</v>
      </c>
      <c r="N8" s="9">
        <v>5.0</v>
      </c>
      <c r="O8" s="9">
        <v>5.0</v>
      </c>
      <c r="P8" s="9">
        <v>10.0</v>
      </c>
    </row>
    <row r="9" ht="22.5" customHeight="1">
      <c r="A9" s="8">
        <v>46076.42408577546</v>
      </c>
      <c r="B9" s="9" t="s">
        <v>18</v>
      </c>
      <c r="C9" s="10">
        <v>46073.0</v>
      </c>
      <c r="D9" s="9" t="s">
        <v>19</v>
      </c>
      <c r="F9" s="9" t="s">
        <v>23</v>
      </c>
      <c r="G9" s="9" t="s">
        <v>22</v>
      </c>
      <c r="H9" s="9">
        <v>5.0</v>
      </c>
      <c r="I9" s="9">
        <v>5.0</v>
      </c>
      <c r="J9" s="9">
        <v>5.0</v>
      </c>
      <c r="K9" s="9">
        <v>5.0</v>
      </c>
      <c r="L9" s="9">
        <v>5.0</v>
      </c>
      <c r="M9" s="9">
        <v>5.0</v>
      </c>
      <c r="N9" s="9">
        <v>5.0</v>
      </c>
      <c r="O9" s="9">
        <v>5.0</v>
      </c>
      <c r="P9" s="9">
        <v>10.0</v>
      </c>
    </row>
    <row r="10" ht="22.5" customHeight="1">
      <c r="A10" s="8">
        <v>46076.42553940973</v>
      </c>
      <c r="B10" s="9" t="s">
        <v>18</v>
      </c>
      <c r="C10" s="10">
        <v>46076.0</v>
      </c>
      <c r="D10" s="9" t="s">
        <v>19</v>
      </c>
      <c r="E10" s="9" t="s">
        <v>29</v>
      </c>
      <c r="F10" s="9" t="s">
        <v>23</v>
      </c>
      <c r="G10" s="9" t="s">
        <v>22</v>
      </c>
      <c r="H10" s="9">
        <v>5.0</v>
      </c>
      <c r="I10" s="9">
        <v>5.0</v>
      </c>
      <c r="J10" s="9">
        <v>5.0</v>
      </c>
      <c r="K10" s="9">
        <v>5.0</v>
      </c>
      <c r="L10" s="9">
        <v>5.0</v>
      </c>
      <c r="M10" s="9">
        <v>5.0</v>
      </c>
      <c r="N10" s="9">
        <v>5.0</v>
      </c>
      <c r="O10" s="9">
        <v>5.0</v>
      </c>
      <c r="P10" s="9">
        <v>10.0</v>
      </c>
    </row>
    <row r="11" ht="22.5" customHeight="1">
      <c r="A11" s="8">
        <v>46076.433194745376</v>
      </c>
      <c r="B11" s="9" t="s">
        <v>18</v>
      </c>
      <c r="C11" s="10">
        <v>46076.0</v>
      </c>
      <c r="D11" s="9" t="s">
        <v>19</v>
      </c>
      <c r="E11" s="9" t="s">
        <v>30</v>
      </c>
      <c r="F11" s="9" t="s">
        <v>23</v>
      </c>
      <c r="G11" s="9" t="s">
        <v>22</v>
      </c>
      <c r="H11" s="9">
        <v>5.0</v>
      </c>
      <c r="I11" s="9">
        <v>5.0</v>
      </c>
      <c r="J11" s="9">
        <v>5.0</v>
      </c>
      <c r="K11" s="9">
        <v>5.0</v>
      </c>
      <c r="L11" s="9">
        <v>5.0</v>
      </c>
      <c r="M11" s="9">
        <v>5.0</v>
      </c>
      <c r="N11" s="9">
        <v>5.0</v>
      </c>
      <c r="O11" s="9">
        <v>5.0</v>
      </c>
      <c r="P11" s="9">
        <v>9.0</v>
      </c>
    </row>
    <row r="12" ht="22.5" customHeight="1">
      <c r="A12" s="8">
        <v>46076.45785644676</v>
      </c>
      <c r="B12" s="9" t="s">
        <v>18</v>
      </c>
      <c r="C12" s="10">
        <v>46065.0</v>
      </c>
      <c r="D12" s="9" t="s">
        <v>19</v>
      </c>
      <c r="E12" s="9" t="s">
        <v>31</v>
      </c>
      <c r="F12" s="9" t="s">
        <v>23</v>
      </c>
      <c r="G12" s="9" t="s">
        <v>22</v>
      </c>
      <c r="H12" s="9">
        <v>5.0</v>
      </c>
      <c r="I12" s="9">
        <v>5.0</v>
      </c>
      <c r="J12" s="9">
        <v>5.0</v>
      </c>
      <c r="K12" s="9">
        <v>5.0</v>
      </c>
      <c r="L12" s="9">
        <v>5.0</v>
      </c>
      <c r="M12" s="9">
        <v>5.0</v>
      </c>
      <c r="N12" s="9">
        <v>5.0</v>
      </c>
      <c r="O12" s="9">
        <v>5.0</v>
      </c>
      <c r="P12" s="9">
        <v>10.0</v>
      </c>
    </row>
    <row r="13" ht="22.5" customHeight="1">
      <c r="A13" s="8">
        <v>46076.510462997685</v>
      </c>
      <c r="B13" s="9" t="s">
        <v>18</v>
      </c>
      <c r="C13" s="10">
        <v>46076.0</v>
      </c>
      <c r="D13" s="9" t="s">
        <v>19</v>
      </c>
      <c r="F13" s="9" t="s">
        <v>23</v>
      </c>
      <c r="G13" s="9" t="s">
        <v>22</v>
      </c>
      <c r="H13" s="9">
        <v>4.0</v>
      </c>
      <c r="I13" s="9">
        <v>4.0</v>
      </c>
      <c r="J13" s="9">
        <v>4.0</v>
      </c>
      <c r="K13" s="9">
        <v>4.0</v>
      </c>
      <c r="L13" s="9">
        <v>4.0</v>
      </c>
      <c r="M13" s="9">
        <v>4.0</v>
      </c>
      <c r="N13" s="9">
        <v>4.0</v>
      </c>
      <c r="O13" s="9">
        <v>4.0</v>
      </c>
      <c r="P13" s="9">
        <v>6.0</v>
      </c>
    </row>
    <row r="14" ht="22.5" customHeight="1">
      <c r="A14" s="8">
        <v>46076.522242569445</v>
      </c>
      <c r="B14" s="9" t="s">
        <v>18</v>
      </c>
      <c r="C14" s="10">
        <v>46076.0</v>
      </c>
      <c r="D14" s="9" t="s">
        <v>19</v>
      </c>
      <c r="E14" s="9" t="s">
        <v>32</v>
      </c>
      <c r="F14" s="9" t="s">
        <v>23</v>
      </c>
      <c r="G14" s="9" t="s">
        <v>22</v>
      </c>
      <c r="H14" s="9">
        <v>5.0</v>
      </c>
      <c r="I14" s="9">
        <v>5.0</v>
      </c>
      <c r="J14" s="9">
        <v>5.0</v>
      </c>
      <c r="K14" s="9">
        <v>5.0</v>
      </c>
      <c r="M14" s="9">
        <v>5.0</v>
      </c>
      <c r="N14" s="9">
        <v>5.0</v>
      </c>
      <c r="O14" s="9">
        <v>5.0</v>
      </c>
      <c r="P14" s="9">
        <v>10.0</v>
      </c>
    </row>
    <row r="15" ht="22.5" customHeight="1">
      <c r="A15" s="8">
        <v>46076.61430368056</v>
      </c>
      <c r="B15" s="9" t="s">
        <v>18</v>
      </c>
      <c r="C15" s="10">
        <v>46076.0</v>
      </c>
      <c r="D15" s="9" t="s">
        <v>25</v>
      </c>
      <c r="F15" s="9" t="s">
        <v>23</v>
      </c>
      <c r="G15" s="9" t="s">
        <v>22</v>
      </c>
      <c r="H15" s="9">
        <v>2.0</v>
      </c>
      <c r="I15" s="9">
        <v>3.0</v>
      </c>
      <c r="J15" s="9">
        <v>3.0</v>
      </c>
      <c r="K15" s="9">
        <v>3.0</v>
      </c>
      <c r="L15" s="9">
        <v>2.0</v>
      </c>
      <c r="M15" s="9">
        <v>3.0</v>
      </c>
      <c r="N15" s="9">
        <v>3.0</v>
      </c>
      <c r="O15" s="9">
        <v>4.0</v>
      </c>
      <c r="P15" s="9">
        <v>5.0</v>
      </c>
    </row>
    <row r="16" ht="22.5" customHeight="1">
      <c r="A16" s="8">
        <v>46120.61722335649</v>
      </c>
      <c r="B16" s="9" t="s">
        <v>18</v>
      </c>
      <c r="C16" s="10">
        <v>46120.0</v>
      </c>
      <c r="D16" s="9" t="s">
        <v>25</v>
      </c>
      <c r="F16" s="9" t="s">
        <v>23</v>
      </c>
      <c r="G16" s="9" t="s">
        <v>22</v>
      </c>
      <c r="H16" s="9">
        <v>5.0</v>
      </c>
      <c r="I16" s="9">
        <v>5.0</v>
      </c>
      <c r="J16" s="9">
        <v>5.0</v>
      </c>
      <c r="K16" s="9">
        <v>5.0</v>
      </c>
      <c r="L16" s="9">
        <v>5.0</v>
      </c>
      <c r="M16" s="9">
        <v>5.0</v>
      </c>
      <c r="N16" s="9">
        <v>5.0</v>
      </c>
      <c r="O16" s="9">
        <v>5.0</v>
      </c>
      <c r="P16" s="9">
        <v>10.0</v>
      </c>
      <c r="Q16" s="9" t="s">
        <v>33</v>
      </c>
      <c r="R16" s="9" t="s">
        <v>34</v>
      </c>
    </row>
    <row r="17" ht="22.5" customHeight="1">
      <c r="A17" s="8">
        <v>46301.45405246528</v>
      </c>
      <c r="B17" s="9" t="s">
        <v>18</v>
      </c>
      <c r="C17" s="10">
        <v>45831.0</v>
      </c>
      <c r="D17" s="9" t="s">
        <v>19</v>
      </c>
      <c r="E17" s="9" t="s">
        <v>35</v>
      </c>
      <c r="F17" s="9" t="s">
        <v>23</v>
      </c>
      <c r="G17" s="9" t="s">
        <v>36</v>
      </c>
      <c r="H17" s="9">
        <v>5.0</v>
      </c>
      <c r="I17" s="9">
        <v>5.0</v>
      </c>
      <c r="J17" s="9">
        <v>5.0</v>
      </c>
      <c r="K17" s="9">
        <v>5.0</v>
      </c>
      <c r="L17" s="9">
        <v>5.0</v>
      </c>
      <c r="M17" s="9">
        <v>5.0</v>
      </c>
      <c r="N17" s="9">
        <v>5.0</v>
      </c>
      <c r="O17" s="9">
        <v>5.0</v>
      </c>
      <c r="P17" s="9">
        <v>10.0</v>
      </c>
    </row>
    <row r="18" ht="22.5" customHeight="1">
      <c r="A18" s="8">
        <v>46301.46436209491</v>
      </c>
      <c r="B18" s="9" t="s">
        <v>18</v>
      </c>
      <c r="C18" s="10">
        <v>46301.0</v>
      </c>
      <c r="D18" s="9" t="s">
        <v>25</v>
      </c>
      <c r="F18" s="9" t="s">
        <v>23</v>
      </c>
      <c r="G18" s="9" t="s">
        <v>22</v>
      </c>
      <c r="H18" s="9">
        <v>3.0</v>
      </c>
      <c r="I18" s="9">
        <v>4.0</v>
      </c>
      <c r="J18" s="9">
        <v>4.0</v>
      </c>
      <c r="K18" s="9">
        <v>2.0</v>
      </c>
      <c r="L18" s="9">
        <v>4.0</v>
      </c>
      <c r="M18" s="9">
        <v>2.0</v>
      </c>
      <c r="N18" s="9">
        <v>2.0</v>
      </c>
      <c r="O18" s="9">
        <v>3.0</v>
      </c>
      <c r="P18" s="9">
        <v>5.0</v>
      </c>
    </row>
    <row r="19" ht="22.5" customHeight="1">
      <c r="A19" s="8">
        <v>46301.464370671296</v>
      </c>
      <c r="B19" s="9" t="s">
        <v>18</v>
      </c>
      <c r="C19" s="10">
        <v>46301.0</v>
      </c>
      <c r="D19" s="9" t="s">
        <v>25</v>
      </c>
      <c r="E19" s="9" t="s">
        <v>37</v>
      </c>
      <c r="F19" s="9" t="s">
        <v>21</v>
      </c>
      <c r="G19" s="9" t="s">
        <v>22</v>
      </c>
      <c r="H19" s="9">
        <v>4.0</v>
      </c>
      <c r="I19" s="9">
        <v>5.0</v>
      </c>
      <c r="J19" s="9">
        <v>5.0</v>
      </c>
      <c r="K19" s="9">
        <v>5.0</v>
      </c>
      <c r="L19" s="9">
        <v>5.0</v>
      </c>
      <c r="M19" s="9">
        <v>5.0</v>
      </c>
      <c r="N19" s="9">
        <v>5.0</v>
      </c>
      <c r="O19" s="9">
        <v>5.0</v>
      </c>
      <c r="P19" s="9">
        <v>10.0</v>
      </c>
      <c r="Q19" s="9" t="s">
        <v>38</v>
      </c>
      <c r="R19" s="9" t="s">
        <v>39</v>
      </c>
    </row>
    <row r="20" ht="22.5" customHeight="1">
      <c r="A20" s="8">
        <v>46301.466411319445</v>
      </c>
      <c r="B20" s="9" t="s">
        <v>18</v>
      </c>
      <c r="C20" s="10">
        <v>46301.0</v>
      </c>
      <c r="D20" s="9" t="s">
        <v>25</v>
      </c>
      <c r="E20" s="9" t="s">
        <v>40</v>
      </c>
      <c r="F20" s="9" t="s">
        <v>23</v>
      </c>
      <c r="G20" s="9" t="s">
        <v>22</v>
      </c>
      <c r="H20" s="9">
        <v>3.0</v>
      </c>
      <c r="I20" s="9">
        <v>3.0</v>
      </c>
      <c r="J20" s="9">
        <v>3.0</v>
      </c>
      <c r="K20" s="9">
        <v>3.0</v>
      </c>
      <c r="L20" s="9">
        <v>3.0</v>
      </c>
      <c r="M20" s="9">
        <v>3.0</v>
      </c>
      <c r="N20" s="9">
        <v>3.0</v>
      </c>
      <c r="O20" s="9">
        <v>4.0</v>
      </c>
      <c r="P20" s="9">
        <v>9.0</v>
      </c>
      <c r="Q20" s="9" t="s">
        <v>40</v>
      </c>
      <c r="R20" s="9" t="s">
        <v>40</v>
      </c>
    </row>
    <row r="21" ht="22.5" customHeight="1">
      <c r="A21" s="8">
        <v>46301.46776699074</v>
      </c>
      <c r="B21" s="9" t="s">
        <v>18</v>
      </c>
      <c r="C21" s="10">
        <v>46301.0</v>
      </c>
      <c r="D21" s="9" t="s">
        <v>25</v>
      </c>
      <c r="F21" s="9" t="s">
        <v>21</v>
      </c>
      <c r="G21" s="9" t="s">
        <v>22</v>
      </c>
      <c r="H21" s="9">
        <v>5.0</v>
      </c>
      <c r="I21" s="9">
        <v>4.0</v>
      </c>
      <c r="J21" s="9">
        <v>3.0</v>
      </c>
      <c r="K21" s="9">
        <v>3.0</v>
      </c>
      <c r="L21" s="9">
        <v>4.0</v>
      </c>
      <c r="M21" s="9">
        <v>4.0</v>
      </c>
      <c r="N21" s="9">
        <v>4.0</v>
      </c>
      <c r="O21" s="9">
        <v>3.0</v>
      </c>
      <c r="P21" s="9">
        <v>7.0</v>
      </c>
    </row>
    <row r="22" ht="22.5" customHeight="1">
      <c r="A22" s="8">
        <v>46301.46806565972</v>
      </c>
      <c r="B22" s="9" t="s">
        <v>18</v>
      </c>
      <c r="C22" s="10">
        <v>46290.0</v>
      </c>
      <c r="D22" s="9" t="s">
        <v>25</v>
      </c>
      <c r="F22" s="9" t="s">
        <v>23</v>
      </c>
      <c r="G22" s="9" t="s">
        <v>41</v>
      </c>
      <c r="H22" s="9">
        <v>5.0</v>
      </c>
      <c r="I22" s="9">
        <v>5.0</v>
      </c>
      <c r="J22" s="9">
        <v>5.0</v>
      </c>
      <c r="K22" s="9">
        <v>5.0</v>
      </c>
      <c r="L22" s="9">
        <v>5.0</v>
      </c>
      <c r="M22" s="9">
        <v>5.0</v>
      </c>
      <c r="N22" s="9">
        <v>5.0</v>
      </c>
      <c r="O22" s="9">
        <v>5.0</v>
      </c>
      <c r="P22" s="9">
        <v>9.0</v>
      </c>
      <c r="Q22" s="9" t="s">
        <v>42</v>
      </c>
      <c r="R22" s="9" t="s">
        <v>43</v>
      </c>
    </row>
    <row r="23" ht="22.5" customHeight="1">
      <c r="A23" s="8">
        <v>46301.46866974537</v>
      </c>
      <c r="B23" s="9" t="s">
        <v>18</v>
      </c>
      <c r="C23" s="10">
        <v>46301.0</v>
      </c>
      <c r="D23" s="9" t="s">
        <v>25</v>
      </c>
      <c r="F23" s="9" t="s">
        <v>21</v>
      </c>
      <c r="G23" s="9" t="s">
        <v>22</v>
      </c>
      <c r="H23" s="9">
        <v>5.0</v>
      </c>
      <c r="I23" s="9">
        <v>5.0</v>
      </c>
      <c r="J23" s="9">
        <v>4.0</v>
      </c>
      <c r="K23" s="9">
        <v>5.0</v>
      </c>
      <c r="L23" s="9">
        <v>5.0</v>
      </c>
      <c r="M23" s="9">
        <v>5.0</v>
      </c>
      <c r="N23" s="9">
        <v>5.0</v>
      </c>
      <c r="O23" s="9">
        <v>4.0</v>
      </c>
      <c r="P23" s="9">
        <v>9.0</v>
      </c>
    </row>
    <row r="24" ht="22.5" customHeight="1">
      <c r="A24" s="8">
        <v>46301.469478750005</v>
      </c>
      <c r="B24" s="9" t="s">
        <v>18</v>
      </c>
      <c r="C24" s="10">
        <v>46301.0</v>
      </c>
      <c r="D24" s="9" t="s">
        <v>25</v>
      </c>
      <c r="F24" s="9" t="s">
        <v>21</v>
      </c>
      <c r="G24" s="9" t="s">
        <v>22</v>
      </c>
      <c r="H24" s="9">
        <v>5.0</v>
      </c>
      <c r="I24" s="9">
        <v>5.0</v>
      </c>
      <c r="J24" s="9">
        <v>5.0</v>
      </c>
      <c r="K24" s="9">
        <v>5.0</v>
      </c>
      <c r="L24" s="9">
        <v>4.0</v>
      </c>
      <c r="M24" s="9">
        <v>4.0</v>
      </c>
      <c r="N24" s="9">
        <v>4.0</v>
      </c>
      <c r="O24" s="9">
        <v>4.0</v>
      </c>
      <c r="P24" s="9">
        <v>9.0</v>
      </c>
    </row>
    <row r="25" ht="22.5" customHeight="1">
      <c r="A25" s="8">
        <v>46301.46968018518</v>
      </c>
      <c r="B25" s="9" t="s">
        <v>18</v>
      </c>
      <c r="C25" s="10">
        <v>38644.0</v>
      </c>
      <c r="D25" s="9" t="s">
        <v>25</v>
      </c>
      <c r="F25" s="9" t="s">
        <v>21</v>
      </c>
      <c r="G25" s="9" t="s">
        <v>36</v>
      </c>
      <c r="H25" s="9">
        <v>4.0</v>
      </c>
      <c r="I25" s="9">
        <v>3.0</v>
      </c>
      <c r="J25" s="9">
        <v>3.0</v>
      </c>
      <c r="K25" s="9">
        <v>3.0</v>
      </c>
      <c r="L25" s="9">
        <v>4.0</v>
      </c>
      <c r="M25" s="9">
        <v>5.0</v>
      </c>
      <c r="N25" s="9">
        <v>4.0</v>
      </c>
      <c r="O25" s="9">
        <v>5.0</v>
      </c>
      <c r="P25" s="9">
        <v>10.0</v>
      </c>
    </row>
    <row r="26" ht="22.5" customHeight="1">
      <c r="A26" s="8">
        <v>46301.47211407407</v>
      </c>
      <c r="B26" s="9" t="s">
        <v>18</v>
      </c>
      <c r="C26" s="10">
        <v>46301.0</v>
      </c>
      <c r="D26" s="9" t="s">
        <v>25</v>
      </c>
      <c r="E26" s="9" t="s">
        <v>44</v>
      </c>
      <c r="F26" s="9" t="s">
        <v>21</v>
      </c>
      <c r="G26" s="9" t="s">
        <v>22</v>
      </c>
      <c r="H26" s="9">
        <v>5.0</v>
      </c>
      <c r="I26" s="9">
        <v>5.0</v>
      </c>
      <c r="J26" s="9">
        <v>5.0</v>
      </c>
      <c r="K26" s="9">
        <v>5.0</v>
      </c>
      <c r="L26" s="9">
        <v>5.0</v>
      </c>
      <c r="M26" s="9">
        <v>5.0</v>
      </c>
      <c r="N26" s="9">
        <v>5.0</v>
      </c>
      <c r="O26" s="9">
        <v>5.0</v>
      </c>
      <c r="P26" s="9">
        <v>8.0</v>
      </c>
      <c r="Q26" s="9" t="s">
        <v>44</v>
      </c>
      <c r="R26" s="9" t="s">
        <v>45</v>
      </c>
    </row>
    <row r="27" ht="22.5" customHeight="1">
      <c r="A27" s="8">
        <v>46301.48040716435</v>
      </c>
      <c r="B27" s="9" t="s">
        <v>18</v>
      </c>
      <c r="C27" s="10">
        <v>46301.0</v>
      </c>
      <c r="D27" s="9" t="s">
        <v>25</v>
      </c>
      <c r="F27" s="9" t="s">
        <v>23</v>
      </c>
      <c r="G27" s="9" t="s">
        <v>22</v>
      </c>
      <c r="H27" s="9">
        <v>4.0</v>
      </c>
      <c r="I27" s="9">
        <v>4.0</v>
      </c>
      <c r="J27" s="9">
        <v>4.0</v>
      </c>
      <c r="K27" s="9">
        <v>4.0</v>
      </c>
      <c r="L27" s="9">
        <v>4.0</v>
      </c>
      <c r="M27" s="9">
        <v>4.0</v>
      </c>
      <c r="N27" s="9">
        <v>4.0</v>
      </c>
      <c r="O27" s="9">
        <v>4.0</v>
      </c>
      <c r="P27" s="9">
        <v>8.0</v>
      </c>
    </row>
    <row r="28" ht="22.5" customHeight="1">
      <c r="A28" s="8">
        <v>46301.481101111116</v>
      </c>
      <c r="B28" s="9" t="s">
        <v>18</v>
      </c>
      <c r="C28" s="10">
        <v>46321.0</v>
      </c>
      <c r="D28" s="9" t="s">
        <v>25</v>
      </c>
      <c r="E28" s="9" t="s">
        <v>46</v>
      </c>
      <c r="F28" s="9" t="s">
        <v>23</v>
      </c>
      <c r="G28" s="9" t="s">
        <v>47</v>
      </c>
      <c r="H28" s="9">
        <v>5.0</v>
      </c>
      <c r="I28" s="9">
        <v>5.0</v>
      </c>
      <c r="J28" s="9">
        <v>5.0</v>
      </c>
      <c r="K28" s="9">
        <v>5.0</v>
      </c>
      <c r="L28" s="9">
        <v>5.0</v>
      </c>
      <c r="M28" s="9">
        <v>5.0</v>
      </c>
      <c r="N28" s="9">
        <v>5.0</v>
      </c>
      <c r="O28" s="9">
        <v>5.0</v>
      </c>
      <c r="P28" s="9">
        <v>10.0</v>
      </c>
      <c r="Q28" s="9" t="s">
        <v>48</v>
      </c>
      <c r="R28" s="9" t="s">
        <v>49</v>
      </c>
    </row>
    <row r="29" ht="22.5" customHeight="1">
      <c r="A29" s="8">
        <v>46301.48138111111</v>
      </c>
      <c r="B29" s="9" t="s">
        <v>18</v>
      </c>
      <c r="C29" s="10">
        <v>46301.0</v>
      </c>
      <c r="D29" s="9" t="s">
        <v>50</v>
      </c>
      <c r="E29" s="9" t="s">
        <v>51</v>
      </c>
      <c r="F29" s="9" t="s">
        <v>21</v>
      </c>
      <c r="G29" s="9" t="s">
        <v>22</v>
      </c>
      <c r="H29" s="9">
        <v>5.0</v>
      </c>
      <c r="I29" s="9">
        <v>5.0</v>
      </c>
      <c r="J29" s="9">
        <v>5.0</v>
      </c>
      <c r="K29" s="9">
        <v>5.0</v>
      </c>
      <c r="L29" s="9">
        <v>5.0</v>
      </c>
      <c r="M29" s="9">
        <v>5.0</v>
      </c>
      <c r="N29" s="9">
        <v>5.0</v>
      </c>
      <c r="O29" s="9">
        <v>5.0</v>
      </c>
      <c r="P29" s="9">
        <v>9.0</v>
      </c>
      <c r="Q29" s="9" t="s">
        <v>52</v>
      </c>
      <c r="R29" s="9" t="s">
        <v>53</v>
      </c>
    </row>
    <row r="30" ht="22.5" customHeight="1">
      <c r="A30" s="8">
        <v>46301.48144293981</v>
      </c>
      <c r="B30" s="9" t="s">
        <v>18</v>
      </c>
      <c r="C30" s="10">
        <v>37713.0</v>
      </c>
      <c r="D30" s="9" t="s">
        <v>25</v>
      </c>
      <c r="F30" s="9" t="s">
        <v>23</v>
      </c>
      <c r="G30" s="9" t="s">
        <v>22</v>
      </c>
      <c r="H30" s="9">
        <v>3.0</v>
      </c>
      <c r="I30" s="9">
        <v>3.0</v>
      </c>
      <c r="J30" s="9">
        <v>3.0</v>
      </c>
      <c r="K30" s="9">
        <v>3.0</v>
      </c>
      <c r="L30" s="9">
        <v>2.0</v>
      </c>
      <c r="M30" s="9">
        <v>1.0</v>
      </c>
      <c r="N30" s="9">
        <v>2.0</v>
      </c>
      <c r="O30" s="9">
        <v>2.0</v>
      </c>
      <c r="P30" s="9">
        <v>5.0</v>
      </c>
    </row>
    <row r="31" ht="22.5" customHeight="1">
      <c r="A31" s="8">
        <v>46301.48581266204</v>
      </c>
      <c r="B31" s="9" t="s">
        <v>18</v>
      </c>
      <c r="C31" s="10">
        <v>46301.0</v>
      </c>
      <c r="D31" s="9" t="s">
        <v>25</v>
      </c>
      <c r="F31" s="9" t="s">
        <v>23</v>
      </c>
      <c r="G31" s="9" t="s">
        <v>22</v>
      </c>
      <c r="H31" s="9">
        <v>4.0</v>
      </c>
      <c r="I31" s="9">
        <v>3.0</v>
      </c>
      <c r="J31" s="9">
        <v>4.0</v>
      </c>
      <c r="K31" s="9">
        <v>4.0</v>
      </c>
      <c r="L31" s="9">
        <v>5.0</v>
      </c>
      <c r="M31" s="9">
        <v>4.0</v>
      </c>
      <c r="N31" s="9">
        <v>2.0</v>
      </c>
      <c r="O31" s="9">
        <v>3.0</v>
      </c>
      <c r="P31" s="9">
        <v>8.0</v>
      </c>
    </row>
    <row r="32" ht="22.5" customHeight="1">
      <c r="A32" s="8">
        <v>46301.49521974537</v>
      </c>
      <c r="B32" s="9" t="s">
        <v>18</v>
      </c>
      <c r="C32" s="10">
        <v>46301.0</v>
      </c>
      <c r="D32" s="9" t="s">
        <v>25</v>
      </c>
      <c r="E32" s="9" t="s">
        <v>54</v>
      </c>
      <c r="F32" s="9" t="s">
        <v>23</v>
      </c>
      <c r="G32" s="9" t="s">
        <v>22</v>
      </c>
      <c r="H32" s="9">
        <v>5.0</v>
      </c>
      <c r="I32" s="9">
        <v>5.0</v>
      </c>
      <c r="J32" s="9">
        <v>5.0</v>
      </c>
      <c r="K32" s="9">
        <v>5.0</v>
      </c>
      <c r="L32" s="9">
        <v>5.0</v>
      </c>
      <c r="M32" s="9">
        <v>5.0</v>
      </c>
      <c r="N32" s="9">
        <v>5.0</v>
      </c>
      <c r="O32" s="9">
        <v>5.0</v>
      </c>
      <c r="P32" s="9">
        <v>10.0</v>
      </c>
    </row>
    <row r="33" ht="22.5" customHeight="1">
      <c r="A33" s="8">
        <v>46301.50362650463</v>
      </c>
      <c r="B33" s="9" t="s">
        <v>18</v>
      </c>
      <c r="C33" s="10">
        <v>46301.0</v>
      </c>
      <c r="D33" s="9" t="s">
        <v>25</v>
      </c>
      <c r="F33" s="9" t="s">
        <v>21</v>
      </c>
      <c r="G33" s="9" t="s">
        <v>22</v>
      </c>
      <c r="H33" s="9">
        <v>5.0</v>
      </c>
      <c r="I33" s="9">
        <v>5.0</v>
      </c>
      <c r="K33" s="9">
        <v>5.0</v>
      </c>
      <c r="L33" s="9">
        <v>5.0</v>
      </c>
      <c r="M33" s="9">
        <v>5.0</v>
      </c>
      <c r="N33" s="9">
        <v>5.0</v>
      </c>
      <c r="O33" s="9">
        <v>5.0</v>
      </c>
      <c r="P33" s="9">
        <v>10.0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IFERROR(__xludf.DUMMYFUNCTION("FILTER({'Form Responses 1'!A2:A151, 'Form Responses 1'!Q2:Q151, 'Form Responses 1'!R2:R151}, ('Form Responses 1'!Q2:Q151 &lt;&gt; """") + ('Form Responses 1'!R2:R151 &lt;&gt; """"))"),46120.61722335649)</f>
        <v>46120.61722</v>
      </c>
      <c r="B1" s="2" t="str">
        <f>IFERROR(__xludf.DUMMYFUNCTION("""COMPUTED_VALUE"""),"good service, responds instantly ")</f>
        <v>good service, responds instantly </v>
      </c>
      <c r="C1" s="2" t="str">
        <f>IFERROR(__xludf.DUMMYFUNCTION("""COMPUTED_VALUE"""),"none")</f>
        <v>none</v>
      </c>
    </row>
    <row r="2">
      <c r="A2" s="1">
        <f>IFERROR(__xludf.DUMMYFUNCTION("""COMPUTED_VALUE"""),46301.464370671296)</f>
        <v>46301.46437</v>
      </c>
      <c r="B2" s="2" t="str">
        <f>IFERROR(__xludf.DUMMYFUNCTION("""COMPUTED_VALUE"""),"The service in VP-Reqa is excellent ")</f>
        <v>The service in VP-Reqa is excellent </v>
      </c>
      <c r="C2" s="2" t="str">
        <f>IFERROR(__xludf.DUMMYFUNCTION("""COMPUTED_VALUE"""),"There should be an office renovation because their office looks old")</f>
        <v>There should be an office renovation because their office looks old</v>
      </c>
    </row>
    <row r="3">
      <c r="A3" s="1">
        <f>IFERROR(__xludf.DUMMYFUNCTION("""COMPUTED_VALUE"""),46301.466411319445)</f>
        <v>46301.46641</v>
      </c>
      <c r="B3" s="2" t="str">
        <f>IFERROR(__xludf.DUMMYFUNCTION("""COMPUTED_VALUE"""),"N/A")</f>
        <v>N/A</v>
      </c>
      <c r="C3" s="2" t="str">
        <f>IFERROR(__xludf.DUMMYFUNCTION("""COMPUTED_VALUE"""),"N/A")</f>
        <v>N/A</v>
      </c>
    </row>
    <row r="4">
      <c r="A4" s="1">
        <f>IFERROR(__xludf.DUMMYFUNCTION("""COMPUTED_VALUE"""),46301.46806565972)</f>
        <v>46301.46807</v>
      </c>
      <c r="B4" s="2" t="str">
        <f>IFERROR(__xludf.DUMMYFUNCTION("""COMPUTED_VALUE"""),"The staff are very alert and attentive in providing services")</f>
        <v>The staff are very alert and attentive in providing services</v>
      </c>
      <c r="C4" s="2" t="str">
        <f>IFERROR(__xludf.DUMMYFUNCTION("""COMPUTED_VALUE"""),"None")</f>
        <v>None</v>
      </c>
    </row>
    <row r="5">
      <c r="A5" s="1">
        <f>IFERROR(__xludf.DUMMYFUNCTION("""COMPUTED_VALUE"""),46301.47211407407)</f>
        <v>46301.47211</v>
      </c>
      <c r="B5" s="2" t="str">
        <f>IFERROR(__xludf.DUMMYFUNCTION("""COMPUTED_VALUE"""),"Good ")</f>
        <v>Good </v>
      </c>
      <c r="C5" s="2" t="str">
        <f>IFERROR(__xludf.DUMMYFUNCTION("""COMPUTED_VALUE"""),"Good 
")</f>
        <v>Good 
</v>
      </c>
    </row>
    <row r="6">
      <c r="A6" s="1">
        <f>IFERROR(__xludf.DUMMYFUNCTION("""COMPUTED_VALUE"""),46301.481101111116)</f>
        <v>46301.4811</v>
      </c>
      <c r="B6" s="2" t="str">
        <f>IFERROR(__xludf.DUMMYFUNCTION("""COMPUTED_VALUE"""),"Excellent")</f>
        <v>Excellent</v>
      </c>
      <c r="C6" s="2" t="str">
        <f>IFERROR(__xludf.DUMMYFUNCTION("""COMPUTED_VALUE"""),"spacious office for clients")</f>
        <v>spacious office for clients</v>
      </c>
    </row>
    <row r="7">
      <c r="A7" s="1">
        <f>IFERROR(__xludf.DUMMYFUNCTION("""COMPUTED_VALUE"""),46301.48138111111)</f>
        <v>46301.48138</v>
      </c>
      <c r="B7" s="2" t="str">
        <f>IFERROR(__xludf.DUMMYFUNCTION("""COMPUTED_VALUE"""),"I have no other comments")</f>
        <v>I have no other comments</v>
      </c>
      <c r="C7" s="2" t="str">
        <f>IFERROR(__xludf.DUMMYFUNCTION("""COMPUTED_VALUE"""),"I have no suggestions because my experience is already very good")</f>
        <v>I have no suggestions because my experience is already very good</v>
      </c>
    </row>
  </sheetData>
  <drawing r:id="rId1"/>
</worksheet>
</file>