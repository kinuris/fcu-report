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>
    <definedName hidden="1" localSheetId="0" name="_xlnm._FilterDatabase">'Form Responses 1'!$A$1:$Q$85</definedName>
  </definedNames>
  <calcPr/>
</workbook>
</file>

<file path=xl/sharedStrings.xml><?xml version="1.0" encoding="utf-8"?>
<sst xmlns="http://schemas.openxmlformats.org/spreadsheetml/2006/main" count="458" uniqueCount="107">
  <si>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</si>
  <si>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</si>
  <si>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</si>
  <si>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</si>
  <si>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</si>
  <si>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</si>
  <si>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Security Office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</si>
  <si>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</si>
  <si>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</si>
  <si>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</si>
  <si>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</si>
  <si>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</si>
  <si>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</si>
  <si>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</si>
  <si>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</si>
  <si>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services provided by the office? </t>
  </si>
  <si>
    <t xml:space="preserve">What are your suggestions to improve customer experience with this office? </t>
  </si>
  <si>
    <t>I AGREE</t>
  </si>
  <si>
    <t>Student</t>
  </si>
  <si>
    <t>Female</t>
  </si>
  <si>
    <t>Emergency Response, Patrol Services, Surveillance and Monitoring, Event Security, Parking and Traffic Enforcement</t>
  </si>
  <si>
    <t>I'm very satisfied with their services</t>
  </si>
  <si>
    <t xml:space="preserve">None </t>
  </si>
  <si>
    <t>BSHM</t>
  </si>
  <si>
    <t>Male</t>
  </si>
  <si>
    <t>Patrol Services</t>
  </si>
  <si>
    <t xml:space="preserve">Bs crim </t>
  </si>
  <si>
    <t>Parking and Traffic Enforcement</t>
  </si>
  <si>
    <t>N/A</t>
  </si>
  <si>
    <t>Alumni</t>
  </si>
  <si>
    <t xml:space="preserve">Emergency Response, Patrol Services, Surveillance and Monitoring, Event Security, Parking and Traffic Enforcement, </t>
  </si>
  <si>
    <t>Good</t>
  </si>
  <si>
    <t>Emergency Response, Patrol Services, Surveillance and Monitoring, Event Security</t>
  </si>
  <si>
    <t>Filamer Christian University Inc.</t>
  </si>
  <si>
    <t xml:space="preserve">It's good </t>
  </si>
  <si>
    <t>None</t>
  </si>
  <si>
    <t>Emergency Response</t>
  </si>
  <si>
    <t>FCU-COE</t>
  </si>
  <si>
    <t xml:space="preserve">Surveillance and Monitoring, Event Security, </t>
  </si>
  <si>
    <t xml:space="preserve">It was remarkable. The office act fast and surely. </t>
  </si>
  <si>
    <t xml:space="preserve">Perhaps a better placement of the physical office itself or a better directory of where the physical office can be seen. </t>
  </si>
  <si>
    <t>BSBA-FM1</t>
  </si>
  <si>
    <t>Emergency Response, Surveillance and Monitoring</t>
  </si>
  <si>
    <t>It's all good</t>
  </si>
  <si>
    <t xml:space="preserve">None
Serious </t>
  </si>
  <si>
    <t>Emergency Response, Event Security, Parking and Traffic Enforcement</t>
  </si>
  <si>
    <t>verygood</t>
  </si>
  <si>
    <t>none</t>
  </si>
  <si>
    <t>Surveillance and Monitoring</t>
  </si>
  <si>
    <t>Excellent</t>
  </si>
  <si>
    <t>Nothing</t>
  </si>
  <si>
    <t>ROTC FILAMER</t>
  </si>
  <si>
    <t>Emergency Response, Patrol Services</t>
  </si>
  <si>
    <t>N/a</t>
  </si>
  <si>
    <t xml:space="preserve">Security office </t>
  </si>
  <si>
    <t xml:space="preserve">Nothing </t>
  </si>
  <si>
    <t>Security Office</t>
  </si>
  <si>
    <t xml:space="preserve">Excellent </t>
  </si>
  <si>
    <t xml:space="preserve">Immediate response </t>
  </si>
  <si>
    <t>2nd Company Alpha</t>
  </si>
  <si>
    <t xml:space="preserve">Reliable </t>
  </si>
  <si>
    <t xml:space="preserve">FCU </t>
  </si>
  <si>
    <t>Event Security</t>
  </si>
  <si>
    <t>By means it's all good no more other comments</t>
  </si>
  <si>
    <t>No suggestions either</t>
  </si>
  <si>
    <t>ROTC</t>
  </si>
  <si>
    <t>Emergency Response, Surveillance and Monitoring, Event Security</t>
  </si>
  <si>
    <t>excellent</t>
  </si>
  <si>
    <t>n/a</t>
  </si>
  <si>
    <t xml:space="preserve">Criminology Department </t>
  </si>
  <si>
    <t>The office gives good service and responds when help is needed. The staff are polite and make people feel safe and comfortable.</t>
  </si>
  <si>
    <t>The office can improve by responding a little faster and giving clearer instructions so people know what to do and where to go.</t>
  </si>
  <si>
    <t>Bs crim</t>
  </si>
  <si>
    <t xml:space="preserve">Cctv footage </t>
  </si>
  <si>
    <t xml:space="preserve">Emergency Response, Patrol Services, Event Security, Parking and Traffic Enforcement, </t>
  </si>
  <si>
    <t xml:space="preserve">All good and good Service </t>
  </si>
  <si>
    <t>Criminology</t>
  </si>
  <si>
    <t>Emergency Response, Surveillance and Monitoring, Event Security, Parking and Traffic Enforcement</t>
  </si>
  <si>
    <t>BSN-1</t>
  </si>
  <si>
    <t>-</t>
  </si>
  <si>
    <t>Crim</t>
  </si>
  <si>
    <t>BSCRIM</t>
  </si>
  <si>
    <t>Faculty/Staff</t>
  </si>
  <si>
    <t>Very good and deal clients fearly and justly.</t>
  </si>
  <si>
    <t>Suggest to in place more cctv to help human personnel monitor in a strategic areas of the campus of the event.</t>
  </si>
  <si>
    <t>Event Security, Parking and Traffic Enforcement</t>
  </si>
  <si>
    <t>FCU</t>
  </si>
  <si>
    <t>Surveillance and Monitoring, Event Security, Parking and Traffic Enforcement</t>
  </si>
  <si>
    <t xml:space="preserve">none </t>
  </si>
  <si>
    <t>It is very commendable, professionalism and consistency is always observed and I hope it will continue for the next year's to come.</t>
  </si>
  <si>
    <t>Prefer not to say</t>
  </si>
  <si>
    <t>THE BEST!</t>
  </si>
  <si>
    <t>CONTINUE TO BE NICE TO EVERYONE AND GOOD WORK.</t>
  </si>
  <si>
    <t>CCS</t>
  </si>
  <si>
    <t xml:space="preserve">N/A </t>
  </si>
  <si>
    <t>.</t>
  </si>
  <si>
    <t>Very good</t>
  </si>
  <si>
    <t>Rotc</t>
  </si>
  <si>
    <t xml:space="preserve">ROTC </t>
  </si>
  <si>
    <t xml:space="preserve">BSCRIM </t>
  </si>
  <si>
    <t xml:space="preserve">Good quality service </t>
  </si>
  <si>
    <t>Get a additional security guards of each gate to secure the safety of the students, faculty and staff</t>
  </si>
  <si>
    <t>FCU BSN</t>
  </si>
  <si>
    <t>BSN</t>
  </si>
  <si>
    <t>Parent/Guardian</t>
  </si>
  <si>
    <t>9/3/0226</t>
  </si>
  <si>
    <t>thank you for your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</si>
</sst>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85" displayName="Form_Responses" name="Form_Responses" id="1">
  <autoFilter ref="$A$1:$Q$85">
    <filterColumn colId="3">
      <filters>
        <filter val="Parent/Guardian"/>
        <filter val="Faculty/Staff"/>
      </filters>
    </filterColumn>
  </autoFilter>
  <tableColumns count="17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Security Office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INTEGRITY_x000a_The office treated me fairly and honestly during my transaction." id="12"/>
    <tableColumn name="ASSURANCE_x000a_I was treated professionally by a knowledgeable and polite staff." id="13"/>
    <tableColumn name="OUTCOME_x000a_I’m satisfied with my overall transaction with the office." id="14"/>
    <tableColumn name="How likely are you to recommend our services to others? " id="15"/>
    <tableColumn name="What can you comment about the services provided by the office? " id="16"/>
    <tableColumn name="What are your suggestions to improve customer experience with this office? 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28.63"/>
    <col customWidth="1" min="8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hidden="1" customHeight="1">
      <c r="A2" s="4">
        <v>45985.46714079861</v>
      </c>
      <c r="B2" s="5" t="s">
        <v>17</v>
      </c>
      <c r="C2" s="6">
        <v>45985.0</v>
      </c>
      <c r="D2" s="5" t="s">
        <v>18</v>
      </c>
      <c r="E2" s="7"/>
      <c r="F2" s="5" t="s">
        <v>19</v>
      </c>
      <c r="G2" s="5" t="s">
        <v>20</v>
      </c>
      <c r="H2" s="7"/>
      <c r="I2" s="5">
        <v>5.0</v>
      </c>
      <c r="J2" s="5">
        <v>5.0</v>
      </c>
      <c r="K2" s="5">
        <v>5.0</v>
      </c>
      <c r="L2" s="5">
        <v>5.0</v>
      </c>
      <c r="M2" s="5">
        <v>5.0</v>
      </c>
      <c r="N2" s="5">
        <v>5.0</v>
      </c>
      <c r="O2" s="5">
        <v>10.0</v>
      </c>
      <c r="P2" s="5" t="s">
        <v>21</v>
      </c>
      <c r="Q2" s="5" t="s">
        <v>22</v>
      </c>
    </row>
    <row r="3" ht="22.5" hidden="1" customHeight="1">
      <c r="A3" s="4">
        <v>45985.46907348379</v>
      </c>
      <c r="B3" s="5" t="s">
        <v>17</v>
      </c>
      <c r="C3" s="6">
        <v>45985.0</v>
      </c>
      <c r="D3" s="5" t="s">
        <v>18</v>
      </c>
      <c r="E3" s="7"/>
      <c r="F3" s="5" t="s">
        <v>19</v>
      </c>
      <c r="G3" s="5" t="s">
        <v>20</v>
      </c>
      <c r="H3" s="5">
        <v>5.0</v>
      </c>
      <c r="I3" s="5">
        <v>5.0</v>
      </c>
      <c r="J3" s="5">
        <v>5.0</v>
      </c>
      <c r="K3" s="5">
        <v>5.0</v>
      </c>
      <c r="L3" s="5">
        <v>5.0</v>
      </c>
      <c r="M3" s="5">
        <v>5.0</v>
      </c>
      <c r="N3" s="5">
        <v>5.0</v>
      </c>
      <c r="O3" s="5">
        <v>10.0</v>
      </c>
      <c r="P3" s="7"/>
      <c r="Q3" s="7"/>
    </row>
    <row r="4" ht="22.5" hidden="1" customHeight="1">
      <c r="A4" s="4">
        <v>45987.43886628472</v>
      </c>
      <c r="B4" s="5" t="s">
        <v>17</v>
      </c>
      <c r="C4" s="6">
        <v>45987.0</v>
      </c>
      <c r="D4" s="5" t="s">
        <v>18</v>
      </c>
      <c r="E4" s="5" t="s">
        <v>23</v>
      </c>
      <c r="F4" s="5" t="s">
        <v>24</v>
      </c>
      <c r="G4" s="5" t="s">
        <v>25</v>
      </c>
      <c r="H4" s="5">
        <v>4.0</v>
      </c>
      <c r="I4" s="5">
        <v>4.0</v>
      </c>
      <c r="J4" s="5">
        <v>4.0</v>
      </c>
      <c r="K4" s="5">
        <v>4.0</v>
      </c>
      <c r="L4" s="5">
        <v>4.0</v>
      </c>
      <c r="M4" s="5">
        <v>4.0</v>
      </c>
      <c r="N4" s="5">
        <v>4.0</v>
      </c>
      <c r="O4" s="5">
        <v>9.0</v>
      </c>
      <c r="P4" s="7"/>
      <c r="Q4" s="7"/>
    </row>
    <row r="5" ht="22.5" hidden="1" customHeight="1">
      <c r="A5" s="4">
        <v>45987.43931780093</v>
      </c>
      <c r="B5" s="5" t="s">
        <v>17</v>
      </c>
      <c r="C5" s="6">
        <v>45987.0</v>
      </c>
      <c r="D5" s="5" t="s">
        <v>18</v>
      </c>
      <c r="E5" s="5" t="s">
        <v>26</v>
      </c>
      <c r="F5" s="5" t="s">
        <v>24</v>
      </c>
      <c r="G5" s="5" t="s">
        <v>27</v>
      </c>
      <c r="H5" s="5">
        <v>5.0</v>
      </c>
      <c r="I5" s="5">
        <v>5.0</v>
      </c>
      <c r="J5" s="5">
        <v>5.0</v>
      </c>
      <c r="K5" s="5">
        <v>5.0</v>
      </c>
      <c r="L5" s="5">
        <v>5.0</v>
      </c>
      <c r="M5" s="5">
        <v>5.0</v>
      </c>
      <c r="N5" s="5">
        <v>5.0</v>
      </c>
      <c r="O5" s="5">
        <v>10.0</v>
      </c>
      <c r="P5" s="7"/>
      <c r="Q5" s="7"/>
    </row>
    <row r="6" ht="22.5" hidden="1" customHeight="1">
      <c r="A6" s="4">
        <v>45987.43993258102</v>
      </c>
      <c r="B6" s="5" t="s">
        <v>17</v>
      </c>
      <c r="C6" s="6">
        <v>45987.0</v>
      </c>
      <c r="D6" s="5" t="s">
        <v>18</v>
      </c>
      <c r="E6" s="5" t="s">
        <v>28</v>
      </c>
      <c r="F6" s="5" t="s">
        <v>24</v>
      </c>
      <c r="G6" s="5" t="s">
        <v>20</v>
      </c>
      <c r="H6" s="5">
        <v>5.0</v>
      </c>
      <c r="I6" s="5">
        <v>5.0</v>
      </c>
      <c r="J6" s="5">
        <v>5.0</v>
      </c>
      <c r="K6" s="5">
        <v>5.0</v>
      </c>
      <c r="L6" s="5">
        <v>5.0</v>
      </c>
      <c r="M6" s="5">
        <v>5.0</v>
      </c>
      <c r="N6" s="5">
        <v>5.0</v>
      </c>
      <c r="O6" s="5">
        <v>10.0</v>
      </c>
      <c r="P6" s="7"/>
      <c r="Q6" s="7"/>
    </row>
    <row r="7" ht="22.5" hidden="1" customHeight="1">
      <c r="A7" s="4">
        <v>45987.44756216435</v>
      </c>
      <c r="B7" s="5" t="s">
        <v>17</v>
      </c>
      <c r="C7" s="6">
        <v>45987.0</v>
      </c>
      <c r="D7" s="5" t="s">
        <v>29</v>
      </c>
      <c r="E7" s="7"/>
      <c r="F7" s="5" t="s">
        <v>19</v>
      </c>
      <c r="G7" s="5" t="s">
        <v>20</v>
      </c>
      <c r="H7" s="5">
        <v>5.0</v>
      </c>
      <c r="I7" s="5">
        <v>5.0</v>
      </c>
      <c r="J7" s="5">
        <v>5.0</v>
      </c>
      <c r="K7" s="5">
        <v>5.0</v>
      </c>
      <c r="L7" s="5">
        <v>5.0</v>
      </c>
      <c r="M7" s="5">
        <v>5.0</v>
      </c>
      <c r="N7" s="5">
        <v>5.0</v>
      </c>
      <c r="O7" s="5">
        <v>10.0</v>
      </c>
      <c r="P7" s="7"/>
      <c r="Q7" s="7"/>
    </row>
    <row r="8" ht="22.5" hidden="1" customHeight="1">
      <c r="A8" s="8">
        <v>45989.692814305556</v>
      </c>
      <c r="B8" s="9" t="s">
        <v>17</v>
      </c>
      <c r="C8" s="10">
        <v>45989.0</v>
      </c>
      <c r="D8" s="9" t="s">
        <v>18</v>
      </c>
      <c r="E8" s="9" t="s">
        <v>28</v>
      </c>
      <c r="F8" s="9" t="s">
        <v>19</v>
      </c>
      <c r="G8" s="9" t="s">
        <v>30</v>
      </c>
      <c r="H8" s="9">
        <v>5.0</v>
      </c>
      <c r="I8" s="9">
        <v>5.0</v>
      </c>
      <c r="J8" s="9">
        <v>5.0</v>
      </c>
      <c r="K8" s="9">
        <v>5.0</v>
      </c>
      <c r="L8" s="9">
        <v>5.0</v>
      </c>
      <c r="M8" s="9">
        <v>5.0</v>
      </c>
      <c r="N8" s="9">
        <v>5.0</v>
      </c>
      <c r="O8" s="9">
        <v>10.0</v>
      </c>
      <c r="P8" s="9" t="s">
        <v>31</v>
      </c>
      <c r="Q8" s="9" t="s">
        <v>28</v>
      </c>
    </row>
    <row r="9" ht="22.5" hidden="1" customHeight="1">
      <c r="A9" s="8">
        <v>45995.63255267361</v>
      </c>
      <c r="B9" s="9" t="s">
        <v>17</v>
      </c>
      <c r="C9" s="10">
        <v>39230.0</v>
      </c>
      <c r="D9" s="9" t="s">
        <v>18</v>
      </c>
      <c r="F9" s="9" t="s">
        <v>19</v>
      </c>
      <c r="G9" s="9" t="s">
        <v>32</v>
      </c>
      <c r="H9" s="9">
        <v>4.0</v>
      </c>
      <c r="I9" s="9">
        <v>4.0</v>
      </c>
      <c r="J9" s="9">
        <v>3.0</v>
      </c>
      <c r="K9" s="9">
        <v>3.0</v>
      </c>
      <c r="L9" s="9">
        <v>3.0</v>
      </c>
      <c r="M9" s="9">
        <v>3.0</v>
      </c>
      <c r="N9" s="9">
        <v>4.0</v>
      </c>
      <c r="O9" s="9">
        <v>8.0</v>
      </c>
    </row>
    <row r="10" ht="22.5" hidden="1" customHeight="1">
      <c r="A10" s="8">
        <v>45995.63284355324</v>
      </c>
      <c r="B10" s="9" t="s">
        <v>17</v>
      </c>
      <c r="C10" s="10">
        <v>45995.0</v>
      </c>
      <c r="D10" s="9" t="s">
        <v>18</v>
      </c>
      <c r="F10" s="9" t="s">
        <v>24</v>
      </c>
      <c r="G10" s="9" t="s">
        <v>20</v>
      </c>
      <c r="H10" s="9">
        <v>4.0</v>
      </c>
      <c r="I10" s="9">
        <v>4.0</v>
      </c>
      <c r="J10" s="9">
        <v>4.0</v>
      </c>
      <c r="K10" s="9">
        <v>3.0</v>
      </c>
      <c r="L10" s="9">
        <v>3.0</v>
      </c>
      <c r="M10" s="9">
        <v>3.0</v>
      </c>
      <c r="N10" s="9">
        <v>3.0</v>
      </c>
      <c r="O10" s="9">
        <v>8.0</v>
      </c>
    </row>
    <row r="11" ht="22.5" hidden="1" customHeight="1">
      <c r="A11" s="8">
        <v>45995.64139503472</v>
      </c>
      <c r="B11" s="9" t="s">
        <v>17</v>
      </c>
      <c r="C11" s="10">
        <v>45995.0</v>
      </c>
      <c r="D11" s="9" t="s">
        <v>18</v>
      </c>
      <c r="E11" s="9" t="s">
        <v>33</v>
      </c>
      <c r="F11" s="9" t="s">
        <v>19</v>
      </c>
      <c r="G11" s="9" t="s">
        <v>20</v>
      </c>
      <c r="H11" s="9">
        <v>5.0</v>
      </c>
      <c r="I11" s="9">
        <v>5.0</v>
      </c>
      <c r="J11" s="9">
        <v>5.0</v>
      </c>
      <c r="K11" s="9">
        <v>5.0</v>
      </c>
      <c r="L11" s="9">
        <v>5.0</v>
      </c>
      <c r="M11" s="9">
        <v>5.0</v>
      </c>
      <c r="N11" s="9">
        <v>5.0</v>
      </c>
      <c r="O11" s="9">
        <v>9.0</v>
      </c>
      <c r="P11" s="9" t="s">
        <v>34</v>
      </c>
      <c r="Q11" s="9" t="s">
        <v>35</v>
      </c>
    </row>
    <row r="12" ht="22.5" hidden="1" customHeight="1">
      <c r="A12" s="8">
        <v>45995.676491307866</v>
      </c>
      <c r="B12" s="9" t="s">
        <v>17</v>
      </c>
      <c r="C12" s="10">
        <v>45995.0</v>
      </c>
      <c r="D12" s="9" t="s">
        <v>18</v>
      </c>
      <c r="F12" s="9" t="s">
        <v>24</v>
      </c>
      <c r="G12" s="9" t="s">
        <v>36</v>
      </c>
      <c r="H12" s="9">
        <v>5.0</v>
      </c>
      <c r="I12" s="9">
        <v>5.0</v>
      </c>
      <c r="J12" s="9">
        <v>5.0</v>
      </c>
      <c r="K12" s="9">
        <v>5.0</v>
      </c>
      <c r="L12" s="9">
        <v>5.0</v>
      </c>
      <c r="M12" s="9">
        <v>5.0</v>
      </c>
      <c r="N12" s="9">
        <v>5.0</v>
      </c>
      <c r="O12" s="9">
        <v>10.0</v>
      </c>
    </row>
    <row r="13" ht="22.5" hidden="1" customHeight="1">
      <c r="A13" s="8">
        <v>45995.684955000004</v>
      </c>
      <c r="B13" s="9" t="s">
        <v>17</v>
      </c>
      <c r="C13" s="10">
        <v>45995.0</v>
      </c>
      <c r="D13" s="9" t="s">
        <v>18</v>
      </c>
      <c r="E13" s="9" t="s">
        <v>37</v>
      </c>
      <c r="F13" s="9" t="s">
        <v>19</v>
      </c>
      <c r="G13" s="9" t="s">
        <v>38</v>
      </c>
      <c r="H13" s="9">
        <v>5.0</v>
      </c>
      <c r="I13" s="9">
        <v>5.0</v>
      </c>
      <c r="J13" s="9">
        <v>5.0</v>
      </c>
      <c r="K13" s="9">
        <v>5.0</v>
      </c>
      <c r="L13" s="9">
        <v>5.0</v>
      </c>
      <c r="M13" s="9">
        <v>5.0</v>
      </c>
      <c r="N13" s="9">
        <v>5.0</v>
      </c>
      <c r="O13" s="9">
        <v>10.0</v>
      </c>
      <c r="P13" s="9" t="s">
        <v>39</v>
      </c>
      <c r="Q13" s="9" t="s">
        <v>40</v>
      </c>
    </row>
    <row r="14" ht="22.5" hidden="1" customHeight="1">
      <c r="A14" s="8">
        <v>45995.68770956018</v>
      </c>
      <c r="B14" s="9" t="s">
        <v>17</v>
      </c>
      <c r="C14" s="10">
        <v>45995.0</v>
      </c>
      <c r="D14" s="9" t="s">
        <v>18</v>
      </c>
      <c r="E14" s="9" t="s">
        <v>41</v>
      </c>
      <c r="F14" s="9" t="s">
        <v>19</v>
      </c>
      <c r="G14" s="9" t="s">
        <v>42</v>
      </c>
      <c r="H14" s="9">
        <v>5.0</v>
      </c>
      <c r="I14" s="9">
        <v>5.0</v>
      </c>
      <c r="J14" s="9">
        <v>5.0</v>
      </c>
      <c r="K14" s="9">
        <v>5.0</v>
      </c>
      <c r="L14" s="9">
        <v>5.0</v>
      </c>
      <c r="M14" s="9">
        <v>5.0</v>
      </c>
      <c r="N14" s="9">
        <v>5.0</v>
      </c>
      <c r="O14" s="9">
        <v>10.0</v>
      </c>
      <c r="P14" s="9" t="s">
        <v>43</v>
      </c>
      <c r="Q14" s="9" t="s">
        <v>44</v>
      </c>
    </row>
    <row r="15" ht="22.5" hidden="1" customHeight="1">
      <c r="A15" s="8">
        <v>45995.748035752316</v>
      </c>
      <c r="B15" s="9" t="s">
        <v>17</v>
      </c>
      <c r="C15" s="10">
        <v>45995.0</v>
      </c>
      <c r="D15" s="9" t="s">
        <v>18</v>
      </c>
      <c r="F15" s="9" t="s">
        <v>19</v>
      </c>
      <c r="G15" s="9" t="s">
        <v>45</v>
      </c>
      <c r="H15" s="9">
        <v>5.0</v>
      </c>
      <c r="I15" s="9">
        <v>5.0</v>
      </c>
      <c r="J15" s="9">
        <v>4.0</v>
      </c>
      <c r="K15" s="9">
        <v>5.0</v>
      </c>
      <c r="L15" s="9">
        <v>5.0</v>
      </c>
      <c r="M15" s="9">
        <v>5.0</v>
      </c>
      <c r="N15" s="9">
        <v>5.0</v>
      </c>
      <c r="O15" s="9">
        <v>10.0</v>
      </c>
      <c r="P15" s="9" t="s">
        <v>46</v>
      </c>
      <c r="Q15" s="9" t="s">
        <v>47</v>
      </c>
    </row>
    <row r="16" ht="22.5" hidden="1" customHeight="1">
      <c r="A16" s="8">
        <v>45996.406229016204</v>
      </c>
      <c r="B16" s="9" t="s">
        <v>17</v>
      </c>
      <c r="C16" s="10">
        <v>39035.0</v>
      </c>
      <c r="D16" s="9" t="s">
        <v>18</v>
      </c>
      <c r="F16" s="9" t="s">
        <v>19</v>
      </c>
      <c r="G16" s="9" t="s">
        <v>48</v>
      </c>
      <c r="H16" s="9">
        <v>3.0</v>
      </c>
      <c r="I16" s="9">
        <v>3.0</v>
      </c>
      <c r="J16" s="9">
        <v>3.0</v>
      </c>
      <c r="K16" s="9">
        <v>3.0</v>
      </c>
      <c r="L16" s="9">
        <v>3.0</v>
      </c>
      <c r="M16" s="9">
        <v>3.0</v>
      </c>
      <c r="N16" s="9">
        <v>2.0</v>
      </c>
      <c r="O16" s="9">
        <v>5.0</v>
      </c>
    </row>
    <row r="17" ht="22.5" hidden="1" customHeight="1">
      <c r="A17" s="8">
        <v>46039.397052824075</v>
      </c>
      <c r="B17" s="9" t="s">
        <v>17</v>
      </c>
      <c r="C17" s="10">
        <v>46039.0</v>
      </c>
      <c r="D17" s="9" t="s">
        <v>18</v>
      </c>
      <c r="F17" s="9" t="s">
        <v>19</v>
      </c>
      <c r="G17" s="9" t="s">
        <v>36</v>
      </c>
      <c r="H17" s="9">
        <v>5.0</v>
      </c>
      <c r="I17" s="9">
        <v>5.0</v>
      </c>
      <c r="J17" s="9">
        <v>5.0</v>
      </c>
      <c r="K17" s="9">
        <v>5.0</v>
      </c>
      <c r="L17" s="9">
        <v>5.0</v>
      </c>
      <c r="M17" s="9">
        <v>5.0</v>
      </c>
      <c r="N17" s="9">
        <v>5.0</v>
      </c>
      <c r="O17" s="9">
        <v>10.0</v>
      </c>
      <c r="P17" s="9" t="s">
        <v>49</v>
      </c>
      <c r="Q17" s="9" t="s">
        <v>50</v>
      </c>
    </row>
    <row r="18" ht="22.5" hidden="1" customHeight="1">
      <c r="A18" s="8">
        <v>46039.397396458335</v>
      </c>
      <c r="B18" s="9" t="s">
        <v>17</v>
      </c>
      <c r="C18" s="10">
        <v>46039.0</v>
      </c>
      <c r="D18" s="9" t="s">
        <v>18</v>
      </c>
      <c r="E18" s="9" t="s">
        <v>51</v>
      </c>
      <c r="F18" s="9" t="s">
        <v>19</v>
      </c>
      <c r="G18" s="9" t="s">
        <v>52</v>
      </c>
      <c r="H18" s="9">
        <v>4.0</v>
      </c>
      <c r="I18" s="9">
        <v>4.0</v>
      </c>
      <c r="J18" s="9">
        <v>4.0</v>
      </c>
      <c r="K18" s="9">
        <v>4.0</v>
      </c>
      <c r="L18" s="9">
        <v>4.0</v>
      </c>
      <c r="M18" s="9">
        <v>5.0</v>
      </c>
      <c r="N18" s="9">
        <v>5.0</v>
      </c>
      <c r="O18" s="9">
        <v>8.0</v>
      </c>
      <c r="P18" s="9" t="s">
        <v>53</v>
      </c>
      <c r="Q18" s="9" t="s">
        <v>53</v>
      </c>
    </row>
    <row r="19" ht="22.5" hidden="1" customHeight="1">
      <c r="A19" s="8">
        <v>46039.39914543982</v>
      </c>
      <c r="B19" s="9" t="s">
        <v>17</v>
      </c>
      <c r="C19" s="10">
        <v>46039.0</v>
      </c>
      <c r="D19" s="9" t="s">
        <v>18</v>
      </c>
      <c r="E19" s="9" t="s">
        <v>54</v>
      </c>
      <c r="F19" s="9" t="s">
        <v>19</v>
      </c>
      <c r="G19" s="9" t="s">
        <v>20</v>
      </c>
      <c r="H19" s="9">
        <v>5.0</v>
      </c>
      <c r="I19" s="9">
        <v>5.0</v>
      </c>
      <c r="J19" s="9">
        <v>5.0</v>
      </c>
      <c r="K19" s="9">
        <v>5.0</v>
      </c>
      <c r="L19" s="9">
        <v>5.0</v>
      </c>
      <c r="M19" s="9">
        <v>5.0</v>
      </c>
      <c r="N19" s="9">
        <v>5.0</v>
      </c>
      <c r="O19" s="9">
        <v>10.0</v>
      </c>
      <c r="P19" s="9" t="s">
        <v>55</v>
      </c>
      <c r="Q19" s="9" t="s">
        <v>55</v>
      </c>
    </row>
    <row r="20" ht="22.5" hidden="1" customHeight="1">
      <c r="A20" s="8">
        <v>46039.400676770834</v>
      </c>
      <c r="B20" s="9" t="s">
        <v>17</v>
      </c>
      <c r="C20" s="10">
        <v>46039.0</v>
      </c>
      <c r="D20" s="9" t="s">
        <v>18</v>
      </c>
      <c r="E20" s="9" t="s">
        <v>56</v>
      </c>
      <c r="F20" s="9" t="s">
        <v>19</v>
      </c>
      <c r="G20" s="9" t="s">
        <v>48</v>
      </c>
      <c r="H20" s="9">
        <v>5.0</v>
      </c>
      <c r="I20" s="9">
        <v>5.0</v>
      </c>
      <c r="J20" s="9">
        <v>5.0</v>
      </c>
      <c r="K20" s="9">
        <v>5.0</v>
      </c>
      <c r="L20" s="9">
        <v>5.0</v>
      </c>
      <c r="M20" s="9">
        <v>5.0</v>
      </c>
      <c r="N20" s="9">
        <v>5.0</v>
      </c>
      <c r="O20" s="9">
        <v>7.0</v>
      </c>
      <c r="P20" s="9" t="s">
        <v>57</v>
      </c>
      <c r="Q20" s="9" t="s">
        <v>58</v>
      </c>
    </row>
    <row r="21" ht="22.5" hidden="1" customHeight="1">
      <c r="A21" s="8">
        <v>46039.41799008102</v>
      </c>
      <c r="B21" s="9" t="s">
        <v>17</v>
      </c>
      <c r="C21" s="10">
        <v>46039.0</v>
      </c>
      <c r="D21" s="9" t="s">
        <v>18</v>
      </c>
      <c r="E21" s="9" t="s">
        <v>59</v>
      </c>
      <c r="F21" s="9" t="s">
        <v>24</v>
      </c>
      <c r="G21" s="9" t="s">
        <v>36</v>
      </c>
      <c r="H21" s="9">
        <v>5.0</v>
      </c>
      <c r="I21" s="9">
        <v>5.0</v>
      </c>
      <c r="J21" s="9">
        <v>5.0</v>
      </c>
      <c r="K21" s="9">
        <v>5.0</v>
      </c>
      <c r="L21" s="9">
        <v>5.0</v>
      </c>
      <c r="M21" s="9">
        <v>5.0</v>
      </c>
      <c r="N21" s="9">
        <v>5.0</v>
      </c>
      <c r="O21" s="9">
        <v>9.0</v>
      </c>
      <c r="P21" s="9" t="s">
        <v>60</v>
      </c>
      <c r="Q21" s="9" t="s">
        <v>35</v>
      </c>
    </row>
    <row r="22" ht="22.5" hidden="1" customHeight="1">
      <c r="A22" s="8">
        <v>46039.41917231481</v>
      </c>
      <c r="B22" s="9" t="s">
        <v>17</v>
      </c>
      <c r="C22" s="10">
        <v>46039.0</v>
      </c>
      <c r="D22" s="9" t="s">
        <v>18</v>
      </c>
      <c r="E22" s="9" t="s">
        <v>61</v>
      </c>
      <c r="F22" s="9" t="s">
        <v>24</v>
      </c>
      <c r="G22" s="9" t="s">
        <v>62</v>
      </c>
      <c r="H22" s="9">
        <v>4.0</v>
      </c>
      <c r="I22" s="9">
        <v>5.0</v>
      </c>
      <c r="J22" s="9">
        <v>5.0</v>
      </c>
      <c r="K22" s="9">
        <v>4.0</v>
      </c>
      <c r="L22" s="9">
        <v>4.0</v>
      </c>
      <c r="M22" s="9">
        <v>5.0</v>
      </c>
      <c r="N22" s="9">
        <v>4.0</v>
      </c>
      <c r="O22" s="9">
        <v>9.0</v>
      </c>
      <c r="P22" s="9" t="s">
        <v>63</v>
      </c>
      <c r="Q22" s="9" t="s">
        <v>64</v>
      </c>
    </row>
    <row r="23" ht="22.5" hidden="1" customHeight="1">
      <c r="A23" s="8">
        <v>46039.42110721065</v>
      </c>
      <c r="B23" s="9" t="s">
        <v>17</v>
      </c>
      <c r="C23" s="10">
        <v>46039.0</v>
      </c>
      <c r="D23" s="9" t="s">
        <v>18</v>
      </c>
      <c r="E23" s="9" t="s">
        <v>65</v>
      </c>
      <c r="F23" s="9" t="s">
        <v>24</v>
      </c>
      <c r="G23" s="9" t="s">
        <v>66</v>
      </c>
      <c r="H23" s="9">
        <v>1.0</v>
      </c>
      <c r="I23" s="9">
        <v>1.0</v>
      </c>
      <c r="J23" s="9">
        <v>1.0</v>
      </c>
      <c r="K23" s="9">
        <v>1.0</v>
      </c>
      <c r="L23" s="9">
        <v>1.0</v>
      </c>
      <c r="M23" s="9">
        <v>1.0</v>
      </c>
      <c r="N23" s="9">
        <v>1.0</v>
      </c>
      <c r="O23" s="9">
        <v>1.0</v>
      </c>
      <c r="P23" s="9" t="s">
        <v>67</v>
      </c>
      <c r="Q23" s="9" t="s">
        <v>68</v>
      </c>
    </row>
    <row r="24" ht="22.5" hidden="1" customHeight="1">
      <c r="A24" s="8">
        <v>46039.42691818287</v>
      </c>
      <c r="B24" s="9" t="s">
        <v>17</v>
      </c>
      <c r="C24" s="10">
        <v>46039.0</v>
      </c>
      <c r="D24" s="9" t="s">
        <v>18</v>
      </c>
      <c r="F24" s="9" t="s">
        <v>24</v>
      </c>
      <c r="G24" s="9" t="s">
        <v>62</v>
      </c>
      <c r="H24" s="9">
        <v>4.0</v>
      </c>
      <c r="I24" s="9">
        <v>4.0</v>
      </c>
      <c r="J24" s="9">
        <v>4.0</v>
      </c>
      <c r="K24" s="9">
        <v>4.0</v>
      </c>
      <c r="L24" s="9">
        <v>4.0</v>
      </c>
      <c r="M24" s="9">
        <v>4.0</v>
      </c>
      <c r="N24" s="9">
        <v>4.0</v>
      </c>
      <c r="O24" s="9">
        <v>7.0</v>
      </c>
    </row>
    <row r="25" ht="22.5" hidden="1" customHeight="1">
      <c r="A25" s="8">
        <v>46039.43400224537</v>
      </c>
      <c r="B25" s="9" t="s">
        <v>17</v>
      </c>
      <c r="C25" s="10">
        <v>46039.0</v>
      </c>
      <c r="D25" s="9" t="s">
        <v>18</v>
      </c>
      <c r="E25" s="9" t="s">
        <v>69</v>
      </c>
      <c r="F25" s="9" t="s">
        <v>19</v>
      </c>
      <c r="G25" s="9" t="s">
        <v>52</v>
      </c>
      <c r="H25" s="9">
        <v>4.0</v>
      </c>
      <c r="I25" s="9">
        <v>5.0</v>
      </c>
      <c r="J25" s="9">
        <v>4.0</v>
      </c>
      <c r="K25" s="9">
        <v>5.0</v>
      </c>
      <c r="L25" s="9">
        <v>4.0</v>
      </c>
      <c r="M25" s="9">
        <v>4.0</v>
      </c>
      <c r="N25" s="9">
        <v>4.0</v>
      </c>
      <c r="O25" s="9">
        <v>10.0</v>
      </c>
      <c r="P25" s="9" t="s">
        <v>70</v>
      </c>
      <c r="Q25" s="9" t="s">
        <v>71</v>
      </c>
    </row>
    <row r="26" ht="22.5" hidden="1" customHeight="1">
      <c r="A26" s="8">
        <v>46039.61063780093</v>
      </c>
      <c r="B26" s="9" t="s">
        <v>17</v>
      </c>
      <c r="C26" s="10">
        <v>46039.0</v>
      </c>
      <c r="D26" s="9" t="s">
        <v>18</v>
      </c>
      <c r="F26" s="9" t="s">
        <v>24</v>
      </c>
      <c r="G26" s="9" t="s">
        <v>36</v>
      </c>
      <c r="H26" s="9">
        <v>1.0</v>
      </c>
      <c r="I26" s="9">
        <v>1.0</v>
      </c>
      <c r="J26" s="9">
        <v>1.0</v>
      </c>
      <c r="K26" s="9">
        <v>1.0</v>
      </c>
      <c r="L26" s="9">
        <v>1.0</v>
      </c>
      <c r="M26" s="9">
        <v>1.0</v>
      </c>
      <c r="N26" s="9">
        <v>1.0</v>
      </c>
      <c r="O26" s="9">
        <v>1.0</v>
      </c>
    </row>
    <row r="27" ht="22.5" hidden="1" customHeight="1">
      <c r="A27" s="8">
        <v>46052.47382706018</v>
      </c>
      <c r="B27" s="9" t="s">
        <v>17</v>
      </c>
      <c r="C27" s="10">
        <v>46052.0</v>
      </c>
      <c r="D27" s="9" t="s">
        <v>18</v>
      </c>
      <c r="E27" s="9" t="s">
        <v>72</v>
      </c>
      <c r="F27" s="9" t="s">
        <v>24</v>
      </c>
      <c r="G27" s="9" t="s">
        <v>48</v>
      </c>
      <c r="H27" s="9">
        <v>5.0</v>
      </c>
      <c r="I27" s="9">
        <v>5.0</v>
      </c>
      <c r="J27" s="9">
        <v>5.0</v>
      </c>
      <c r="K27" s="9">
        <v>5.0</v>
      </c>
      <c r="L27" s="9">
        <v>5.0</v>
      </c>
      <c r="M27" s="9">
        <v>5.0</v>
      </c>
      <c r="N27" s="9">
        <v>5.0</v>
      </c>
      <c r="O27" s="9">
        <v>10.0</v>
      </c>
      <c r="P27" s="9" t="s">
        <v>31</v>
      </c>
      <c r="Q27" s="9" t="s">
        <v>73</v>
      </c>
    </row>
    <row r="28" ht="22.5" hidden="1" customHeight="1">
      <c r="A28" s="8">
        <v>46052.474108078706</v>
      </c>
      <c r="B28" s="9" t="s">
        <v>17</v>
      </c>
      <c r="C28" s="10">
        <v>46027.0</v>
      </c>
      <c r="D28" s="9" t="s">
        <v>18</v>
      </c>
      <c r="F28" s="9" t="s">
        <v>24</v>
      </c>
      <c r="G28" s="9" t="s">
        <v>74</v>
      </c>
      <c r="H28" s="9">
        <v>5.0</v>
      </c>
      <c r="I28" s="9">
        <v>5.0</v>
      </c>
      <c r="J28" s="9">
        <v>5.0</v>
      </c>
      <c r="K28" s="9">
        <v>5.0</v>
      </c>
      <c r="L28" s="9">
        <v>5.0</v>
      </c>
      <c r="M28" s="9">
        <v>5.0</v>
      </c>
      <c r="N28" s="9">
        <v>5.0</v>
      </c>
      <c r="O28" s="9">
        <v>10.0</v>
      </c>
    </row>
    <row r="29" ht="22.5" hidden="1" customHeight="1">
      <c r="A29" s="8">
        <v>46052.47510091435</v>
      </c>
      <c r="B29" s="9" t="s">
        <v>17</v>
      </c>
      <c r="C29" s="10">
        <v>46052.0</v>
      </c>
      <c r="D29" s="9" t="s">
        <v>18</v>
      </c>
      <c r="E29" s="9" t="s">
        <v>72</v>
      </c>
      <c r="F29" s="9" t="s">
        <v>24</v>
      </c>
      <c r="G29" s="9" t="s">
        <v>62</v>
      </c>
      <c r="H29" s="9">
        <v>5.0</v>
      </c>
      <c r="I29" s="9">
        <v>5.0</v>
      </c>
      <c r="J29" s="9">
        <v>5.0</v>
      </c>
      <c r="K29" s="9">
        <v>4.0</v>
      </c>
      <c r="L29" s="9">
        <v>5.0</v>
      </c>
      <c r="M29" s="9">
        <v>5.0</v>
      </c>
      <c r="N29" s="9">
        <v>5.0</v>
      </c>
      <c r="O29" s="9">
        <v>10.0</v>
      </c>
      <c r="P29" s="9" t="s">
        <v>75</v>
      </c>
      <c r="Q29" s="9" t="s">
        <v>28</v>
      </c>
    </row>
    <row r="30" ht="22.5" hidden="1" customHeight="1">
      <c r="A30" s="8">
        <v>46052.476650717595</v>
      </c>
      <c r="B30" s="9" t="s">
        <v>17</v>
      </c>
      <c r="C30" s="10">
        <v>46052.0</v>
      </c>
      <c r="D30" s="9" t="s">
        <v>18</v>
      </c>
      <c r="E30" s="9" t="s">
        <v>76</v>
      </c>
      <c r="F30" s="9" t="s">
        <v>24</v>
      </c>
      <c r="G30" s="9" t="s">
        <v>20</v>
      </c>
      <c r="H30" s="9">
        <v>1.0</v>
      </c>
      <c r="I30" s="9">
        <v>5.0</v>
      </c>
      <c r="J30" s="9">
        <v>5.0</v>
      </c>
      <c r="K30" s="9">
        <v>5.0</v>
      </c>
      <c r="L30" s="9">
        <v>5.0</v>
      </c>
      <c r="M30" s="9">
        <v>5.0</v>
      </c>
      <c r="N30" s="9">
        <v>5.0</v>
      </c>
      <c r="O30" s="9">
        <v>10.0</v>
      </c>
    </row>
    <row r="31" ht="22.5" hidden="1" customHeight="1">
      <c r="A31" s="8">
        <v>46052.510212696754</v>
      </c>
      <c r="B31" s="9" t="s">
        <v>17</v>
      </c>
      <c r="C31" s="10">
        <v>46052.0</v>
      </c>
      <c r="D31" s="9" t="s">
        <v>29</v>
      </c>
      <c r="E31" s="9" t="s">
        <v>65</v>
      </c>
      <c r="F31" s="9" t="s">
        <v>24</v>
      </c>
      <c r="G31" s="9" t="s">
        <v>77</v>
      </c>
      <c r="H31" s="9">
        <v>5.0</v>
      </c>
      <c r="I31" s="9">
        <v>5.0</v>
      </c>
      <c r="J31" s="9">
        <v>5.0</v>
      </c>
      <c r="K31" s="9">
        <v>5.0</v>
      </c>
      <c r="L31" s="9">
        <v>5.0</v>
      </c>
      <c r="M31" s="9">
        <v>5.0</v>
      </c>
      <c r="N31" s="9">
        <v>5.0</v>
      </c>
      <c r="O31" s="9">
        <v>10.0</v>
      </c>
    </row>
    <row r="32" ht="22.5" hidden="1" customHeight="1">
      <c r="A32" s="8">
        <v>46052.6217555787</v>
      </c>
      <c r="B32" s="9" t="s">
        <v>17</v>
      </c>
      <c r="C32" s="10">
        <v>46052.0</v>
      </c>
      <c r="D32" s="9" t="s">
        <v>18</v>
      </c>
      <c r="E32" s="9" t="s">
        <v>78</v>
      </c>
      <c r="F32" s="9" t="s">
        <v>19</v>
      </c>
      <c r="G32" s="9" t="s">
        <v>48</v>
      </c>
      <c r="H32" s="9">
        <v>5.0</v>
      </c>
      <c r="I32" s="9">
        <v>4.0</v>
      </c>
      <c r="J32" s="9">
        <v>4.0</v>
      </c>
      <c r="K32" s="9">
        <v>5.0</v>
      </c>
      <c r="L32" s="9">
        <v>5.0</v>
      </c>
      <c r="M32" s="9">
        <v>5.0</v>
      </c>
      <c r="N32" s="9">
        <v>5.0</v>
      </c>
      <c r="O32" s="9">
        <v>9.0</v>
      </c>
      <c r="P32" s="9" t="s">
        <v>79</v>
      </c>
      <c r="Q32" s="9" t="s">
        <v>79</v>
      </c>
    </row>
    <row r="33" ht="22.5" hidden="1" customHeight="1">
      <c r="A33" s="8">
        <v>46054.57343986111</v>
      </c>
      <c r="B33" s="9" t="s">
        <v>17</v>
      </c>
      <c r="C33" s="10">
        <v>46051.0</v>
      </c>
      <c r="D33" s="9" t="s">
        <v>18</v>
      </c>
      <c r="F33" s="9" t="s">
        <v>19</v>
      </c>
      <c r="G33" s="9" t="s">
        <v>20</v>
      </c>
      <c r="H33" s="9">
        <v>4.0</v>
      </c>
      <c r="I33" s="9">
        <v>4.0</v>
      </c>
      <c r="J33" s="9">
        <v>4.0</v>
      </c>
      <c r="K33" s="9">
        <v>4.0</v>
      </c>
      <c r="L33" s="9">
        <v>4.0</v>
      </c>
      <c r="M33" s="9">
        <v>4.0</v>
      </c>
      <c r="N33" s="9">
        <v>4.0</v>
      </c>
      <c r="O33" s="9">
        <v>9.0</v>
      </c>
    </row>
    <row r="34" ht="22.5" hidden="1" customHeight="1">
      <c r="A34" s="8">
        <v>46072.345289375</v>
      </c>
      <c r="B34" s="9" t="s">
        <v>17</v>
      </c>
      <c r="C34" s="10">
        <v>46072.0</v>
      </c>
      <c r="D34" s="9" t="s">
        <v>18</v>
      </c>
      <c r="E34" s="9" t="s">
        <v>80</v>
      </c>
      <c r="F34" s="9" t="s">
        <v>24</v>
      </c>
      <c r="G34" s="9" t="s">
        <v>48</v>
      </c>
      <c r="H34" s="9">
        <v>5.0</v>
      </c>
      <c r="I34" s="9">
        <v>5.0</v>
      </c>
      <c r="J34" s="9">
        <v>5.0</v>
      </c>
      <c r="K34" s="9">
        <v>5.0</v>
      </c>
      <c r="L34" s="9">
        <v>5.0</v>
      </c>
      <c r="M34" s="9">
        <v>5.0</v>
      </c>
      <c r="N34" s="9">
        <v>5.0</v>
      </c>
      <c r="O34" s="9">
        <v>10.0</v>
      </c>
    </row>
    <row r="35" ht="22.5" hidden="1" customHeight="1">
      <c r="A35" s="8">
        <v>46072.34684300926</v>
      </c>
      <c r="B35" s="9" t="s">
        <v>17</v>
      </c>
      <c r="C35" s="10">
        <v>46072.0</v>
      </c>
      <c r="D35" s="9" t="s">
        <v>18</v>
      </c>
      <c r="E35" s="9" t="s">
        <v>81</v>
      </c>
      <c r="F35" s="9" t="s">
        <v>24</v>
      </c>
      <c r="G35" s="9" t="s">
        <v>20</v>
      </c>
      <c r="H35" s="9">
        <v>5.0</v>
      </c>
      <c r="I35" s="9">
        <v>5.0</v>
      </c>
      <c r="J35" s="9">
        <v>5.0</v>
      </c>
      <c r="K35" s="9">
        <v>5.0</v>
      </c>
      <c r="L35" s="9">
        <v>5.0</v>
      </c>
      <c r="M35" s="9">
        <v>5.0</v>
      </c>
      <c r="N35" s="9">
        <v>5.0</v>
      </c>
      <c r="O35" s="9">
        <v>10.0</v>
      </c>
    </row>
    <row r="36" ht="22.5" customHeight="1">
      <c r="A36" s="8">
        <v>46072.35973677083</v>
      </c>
      <c r="B36" s="9" t="s">
        <v>17</v>
      </c>
      <c r="C36" s="10">
        <v>46071.0</v>
      </c>
      <c r="D36" s="9" t="s">
        <v>82</v>
      </c>
      <c r="F36" s="9" t="s">
        <v>24</v>
      </c>
      <c r="G36" s="9" t="s">
        <v>20</v>
      </c>
      <c r="H36" s="9">
        <v>5.0</v>
      </c>
      <c r="I36" s="9">
        <v>4.0</v>
      </c>
      <c r="J36" s="9">
        <v>4.0</v>
      </c>
      <c r="K36" s="9">
        <v>5.0</v>
      </c>
      <c r="L36" s="9">
        <v>5.0</v>
      </c>
      <c r="M36" s="9">
        <v>5.0</v>
      </c>
      <c r="N36" s="9">
        <v>4.0</v>
      </c>
      <c r="O36" s="9">
        <v>8.0</v>
      </c>
      <c r="P36" s="9" t="s">
        <v>83</v>
      </c>
      <c r="Q36" s="9" t="s">
        <v>84</v>
      </c>
    </row>
    <row r="37" ht="22.5" hidden="1" customHeight="1">
      <c r="A37" s="8">
        <v>46072.46037366898</v>
      </c>
      <c r="B37" s="9" t="s">
        <v>17</v>
      </c>
      <c r="C37" s="10">
        <v>46072.0</v>
      </c>
      <c r="D37" s="9" t="s">
        <v>18</v>
      </c>
      <c r="E37" s="9" t="s">
        <v>28</v>
      </c>
      <c r="F37" s="9" t="s">
        <v>24</v>
      </c>
      <c r="G37" s="9" t="s">
        <v>20</v>
      </c>
      <c r="H37" s="9">
        <v>5.0</v>
      </c>
      <c r="I37" s="9">
        <v>5.0</v>
      </c>
      <c r="J37" s="9">
        <v>5.0</v>
      </c>
      <c r="K37" s="9">
        <v>5.0</v>
      </c>
      <c r="L37" s="9">
        <v>5.0</v>
      </c>
      <c r="M37" s="9">
        <v>5.0</v>
      </c>
      <c r="N37" s="9">
        <v>5.0</v>
      </c>
      <c r="O37" s="9">
        <v>10.0</v>
      </c>
    </row>
    <row r="38" ht="22.5" hidden="1" customHeight="1">
      <c r="A38" s="8">
        <v>46072.46169642361</v>
      </c>
      <c r="B38" s="9" t="s">
        <v>17</v>
      </c>
      <c r="C38" s="10">
        <v>46072.0</v>
      </c>
      <c r="D38" s="9" t="s">
        <v>29</v>
      </c>
      <c r="E38" s="9" t="s">
        <v>65</v>
      </c>
      <c r="F38" s="9" t="s">
        <v>24</v>
      </c>
      <c r="G38" s="9" t="s">
        <v>85</v>
      </c>
      <c r="H38" s="9">
        <v>5.0</v>
      </c>
      <c r="I38" s="9">
        <v>5.0</v>
      </c>
      <c r="J38" s="9">
        <v>5.0</v>
      </c>
      <c r="K38" s="9">
        <v>5.0</v>
      </c>
      <c r="L38" s="9">
        <v>5.0</v>
      </c>
      <c r="M38" s="9">
        <v>5.0</v>
      </c>
      <c r="N38" s="9">
        <v>5.0</v>
      </c>
      <c r="O38" s="9">
        <v>10.0</v>
      </c>
      <c r="P38" s="9" t="s">
        <v>49</v>
      </c>
    </row>
    <row r="39" ht="22.5" hidden="1" customHeight="1">
      <c r="A39" s="8">
        <v>46074.43575193287</v>
      </c>
      <c r="B39" s="9" t="s">
        <v>17</v>
      </c>
      <c r="C39" s="10">
        <v>46074.0</v>
      </c>
      <c r="D39" s="9" t="s">
        <v>18</v>
      </c>
      <c r="E39" s="9" t="s">
        <v>86</v>
      </c>
      <c r="F39" s="9" t="s">
        <v>19</v>
      </c>
      <c r="G39" s="9" t="s">
        <v>87</v>
      </c>
      <c r="H39" s="9">
        <v>5.0</v>
      </c>
      <c r="I39" s="9">
        <v>5.0</v>
      </c>
      <c r="J39" s="9">
        <v>5.0</v>
      </c>
      <c r="K39" s="9">
        <v>5.0</v>
      </c>
      <c r="L39" s="9">
        <v>5.0</v>
      </c>
      <c r="M39" s="9">
        <v>5.0</v>
      </c>
      <c r="N39" s="9">
        <v>5.0</v>
      </c>
      <c r="O39" s="9">
        <v>9.0</v>
      </c>
      <c r="P39" s="9" t="s">
        <v>35</v>
      </c>
      <c r="Q39" s="9" t="s">
        <v>35</v>
      </c>
    </row>
    <row r="40" ht="22.5" hidden="1" customHeight="1">
      <c r="A40" s="8">
        <v>46074.43600560185</v>
      </c>
      <c r="B40" s="9" t="s">
        <v>17</v>
      </c>
      <c r="C40" s="10">
        <v>46074.0</v>
      </c>
      <c r="D40" s="9" t="s">
        <v>18</v>
      </c>
      <c r="E40" s="9" t="s">
        <v>86</v>
      </c>
      <c r="F40" s="9" t="s">
        <v>24</v>
      </c>
      <c r="G40" s="9" t="s">
        <v>20</v>
      </c>
      <c r="H40" s="9">
        <v>5.0</v>
      </c>
      <c r="I40" s="9">
        <v>5.0</v>
      </c>
      <c r="J40" s="9">
        <v>5.0</v>
      </c>
      <c r="K40" s="9">
        <v>5.0</v>
      </c>
      <c r="L40" s="9">
        <v>5.0</v>
      </c>
      <c r="M40" s="9">
        <v>5.0</v>
      </c>
      <c r="N40" s="9">
        <v>5.0</v>
      </c>
      <c r="O40" s="9">
        <v>10.0</v>
      </c>
      <c r="P40" s="9" t="s">
        <v>88</v>
      </c>
      <c r="Q40" s="9" t="s">
        <v>47</v>
      </c>
    </row>
    <row r="41" ht="22.5" hidden="1" customHeight="1">
      <c r="A41" s="8">
        <v>46074.43600939815</v>
      </c>
      <c r="B41" s="9" t="s">
        <v>17</v>
      </c>
      <c r="C41" s="10">
        <v>46074.0</v>
      </c>
      <c r="D41" s="9" t="s">
        <v>18</v>
      </c>
      <c r="F41" s="9" t="s">
        <v>19</v>
      </c>
      <c r="G41" s="9" t="s">
        <v>77</v>
      </c>
      <c r="H41" s="9">
        <v>3.0</v>
      </c>
      <c r="I41" s="9">
        <v>3.0</v>
      </c>
      <c r="J41" s="9">
        <v>3.0</v>
      </c>
      <c r="K41" s="9">
        <v>3.0</v>
      </c>
      <c r="L41" s="9">
        <v>3.0</v>
      </c>
      <c r="M41" s="9">
        <v>3.0</v>
      </c>
      <c r="N41" s="9">
        <v>3.0</v>
      </c>
      <c r="O41" s="9">
        <v>8.0</v>
      </c>
      <c r="P41" s="9" t="s">
        <v>22</v>
      </c>
      <c r="Q41" s="9" t="s">
        <v>35</v>
      </c>
    </row>
    <row r="42" ht="22.5" hidden="1" customHeight="1">
      <c r="A42" s="8">
        <v>46074.43681449074</v>
      </c>
      <c r="B42" s="9" t="s">
        <v>17</v>
      </c>
      <c r="C42" s="10">
        <v>46074.0</v>
      </c>
      <c r="D42" s="9" t="s">
        <v>18</v>
      </c>
      <c r="E42" s="9" t="s">
        <v>28</v>
      </c>
      <c r="F42" s="9" t="s">
        <v>19</v>
      </c>
      <c r="G42" s="9" t="s">
        <v>20</v>
      </c>
      <c r="H42" s="9">
        <v>4.0</v>
      </c>
      <c r="I42" s="9">
        <v>5.0</v>
      </c>
      <c r="J42" s="9">
        <v>5.0</v>
      </c>
      <c r="K42" s="9">
        <v>4.0</v>
      </c>
      <c r="L42" s="9">
        <v>5.0</v>
      </c>
      <c r="M42" s="9">
        <v>4.0</v>
      </c>
      <c r="N42" s="9">
        <v>5.0</v>
      </c>
      <c r="O42" s="9">
        <v>10.0</v>
      </c>
      <c r="P42" s="9" t="s">
        <v>89</v>
      </c>
      <c r="Q42" s="9" t="s">
        <v>35</v>
      </c>
    </row>
    <row r="43" ht="22.5" hidden="1" customHeight="1">
      <c r="A43" s="8">
        <v>46074.4369769676</v>
      </c>
      <c r="B43" s="9" t="s">
        <v>17</v>
      </c>
      <c r="C43" s="10">
        <v>46074.0</v>
      </c>
      <c r="D43" s="9" t="s">
        <v>18</v>
      </c>
      <c r="F43" s="9" t="s">
        <v>90</v>
      </c>
      <c r="G43" s="9" t="s">
        <v>77</v>
      </c>
      <c r="H43" s="9">
        <v>5.0</v>
      </c>
      <c r="I43" s="9">
        <v>5.0</v>
      </c>
      <c r="J43" s="9">
        <v>5.0</v>
      </c>
      <c r="K43" s="9">
        <v>5.0</v>
      </c>
      <c r="L43" s="9">
        <v>5.0</v>
      </c>
      <c r="M43" s="9">
        <v>5.0</v>
      </c>
      <c r="N43" s="9">
        <v>5.0</v>
      </c>
      <c r="O43" s="9">
        <v>10.0</v>
      </c>
      <c r="P43" s="9" t="s">
        <v>91</v>
      </c>
      <c r="Q43" s="9" t="s">
        <v>92</v>
      </c>
    </row>
    <row r="44" ht="22.5" hidden="1" customHeight="1">
      <c r="A44" s="8">
        <v>46074.43747736111</v>
      </c>
      <c r="B44" s="9" t="s">
        <v>17</v>
      </c>
      <c r="C44" s="10">
        <v>46074.0</v>
      </c>
      <c r="D44" s="9" t="s">
        <v>18</v>
      </c>
      <c r="E44" s="9" t="s">
        <v>86</v>
      </c>
      <c r="F44" s="9" t="s">
        <v>19</v>
      </c>
      <c r="G44" s="9" t="s">
        <v>87</v>
      </c>
      <c r="H44" s="9">
        <v>5.0</v>
      </c>
      <c r="I44" s="9">
        <v>5.0</v>
      </c>
      <c r="J44" s="9">
        <v>5.0</v>
      </c>
      <c r="K44" s="9">
        <v>5.0</v>
      </c>
      <c r="L44" s="9">
        <v>5.0</v>
      </c>
      <c r="M44" s="9">
        <v>5.0</v>
      </c>
      <c r="N44" s="9">
        <v>5.0</v>
      </c>
      <c r="O44" s="9">
        <v>10.0</v>
      </c>
      <c r="P44" s="9" t="s">
        <v>35</v>
      </c>
      <c r="Q44" s="9" t="s">
        <v>35</v>
      </c>
    </row>
    <row r="45" ht="22.5" hidden="1" customHeight="1">
      <c r="A45" s="8">
        <v>46074.480045578704</v>
      </c>
      <c r="B45" s="9" t="s">
        <v>17</v>
      </c>
      <c r="C45" s="10">
        <v>46074.0</v>
      </c>
      <c r="D45" s="9" t="s">
        <v>18</v>
      </c>
      <c r="E45" s="9" t="s">
        <v>86</v>
      </c>
      <c r="F45" s="9" t="s">
        <v>19</v>
      </c>
      <c r="G45" s="9" t="s">
        <v>62</v>
      </c>
      <c r="H45" s="9">
        <v>4.0</v>
      </c>
      <c r="I45" s="9">
        <v>3.0</v>
      </c>
      <c r="J45" s="9">
        <v>4.0</v>
      </c>
      <c r="K45" s="9">
        <v>3.0</v>
      </c>
      <c r="L45" s="9">
        <v>3.0</v>
      </c>
      <c r="M45" s="9">
        <v>4.0</v>
      </c>
      <c r="N45" s="9">
        <v>3.0</v>
      </c>
      <c r="O45" s="9">
        <v>8.0</v>
      </c>
      <c r="P45" s="9" t="s">
        <v>31</v>
      </c>
      <c r="Q45" s="9" t="s">
        <v>28</v>
      </c>
    </row>
    <row r="46" ht="22.5" hidden="1" customHeight="1">
      <c r="A46" s="8">
        <v>46074.48315623842</v>
      </c>
      <c r="B46" s="9" t="s">
        <v>17</v>
      </c>
      <c r="C46" s="10">
        <v>39346.0</v>
      </c>
      <c r="D46" s="9" t="s">
        <v>18</v>
      </c>
      <c r="F46" s="9" t="s">
        <v>19</v>
      </c>
      <c r="G46" s="9" t="s">
        <v>25</v>
      </c>
      <c r="H46" s="9">
        <v>4.0</v>
      </c>
      <c r="I46" s="9">
        <v>4.0</v>
      </c>
      <c r="J46" s="9">
        <v>4.0</v>
      </c>
      <c r="K46" s="9">
        <v>4.0</v>
      </c>
      <c r="L46" s="9">
        <v>4.0</v>
      </c>
      <c r="M46" s="9">
        <v>4.0</v>
      </c>
      <c r="N46" s="9">
        <v>4.0</v>
      </c>
      <c r="O46" s="9">
        <v>9.0</v>
      </c>
    </row>
    <row r="47" ht="22.5" hidden="1" customHeight="1">
      <c r="A47" s="8">
        <v>46075.74169711806</v>
      </c>
      <c r="B47" s="9" t="s">
        <v>17</v>
      </c>
      <c r="C47" s="10">
        <v>46074.0</v>
      </c>
      <c r="D47" s="9" t="s">
        <v>18</v>
      </c>
      <c r="E47" s="9" t="s">
        <v>93</v>
      </c>
      <c r="F47" s="9" t="s">
        <v>24</v>
      </c>
      <c r="G47" s="9" t="s">
        <v>62</v>
      </c>
      <c r="H47" s="9">
        <v>5.0</v>
      </c>
      <c r="I47" s="9">
        <v>5.0</v>
      </c>
      <c r="J47" s="9">
        <v>5.0</v>
      </c>
      <c r="K47" s="9">
        <v>5.0</v>
      </c>
      <c r="L47" s="9">
        <v>5.0</v>
      </c>
      <c r="M47" s="9">
        <v>5.0</v>
      </c>
      <c r="N47" s="9">
        <v>5.0</v>
      </c>
      <c r="O47" s="9">
        <v>10.0</v>
      </c>
    </row>
    <row r="48" ht="22.5" customHeight="1">
      <c r="A48" s="8">
        <v>46079.48590421297</v>
      </c>
      <c r="B48" s="9" t="s">
        <v>17</v>
      </c>
      <c r="C48" s="10">
        <v>46079.0</v>
      </c>
      <c r="D48" s="9" t="s">
        <v>18</v>
      </c>
      <c r="E48" s="9" t="s">
        <v>28</v>
      </c>
      <c r="F48" s="9" t="s">
        <v>24</v>
      </c>
      <c r="G48" s="9" t="s">
        <v>20</v>
      </c>
      <c r="H48" s="9">
        <v>5.0</v>
      </c>
      <c r="I48" s="9">
        <v>5.0</v>
      </c>
      <c r="J48" s="9">
        <v>5.0</v>
      </c>
      <c r="K48" s="9">
        <v>5.0</v>
      </c>
      <c r="L48" s="9">
        <v>5.0</v>
      </c>
      <c r="M48" s="9">
        <v>5.0</v>
      </c>
      <c r="N48" s="9">
        <v>5.0</v>
      </c>
      <c r="O48" s="9">
        <v>10.0</v>
      </c>
    </row>
    <row r="49" ht="22.5" customHeight="1">
      <c r="A49" s="8">
        <v>46079.48692298611</v>
      </c>
      <c r="B49" s="9" t="s">
        <v>17</v>
      </c>
      <c r="C49" s="10">
        <v>46079.0</v>
      </c>
      <c r="D49" s="9" t="s">
        <v>18</v>
      </c>
      <c r="E49" s="9" t="s">
        <v>94</v>
      </c>
      <c r="F49" s="9" t="s">
        <v>24</v>
      </c>
      <c r="G49" s="9" t="s">
        <v>20</v>
      </c>
      <c r="H49" s="9">
        <v>5.0</v>
      </c>
      <c r="I49" s="9">
        <v>5.0</v>
      </c>
      <c r="K49" s="9">
        <v>5.0</v>
      </c>
      <c r="L49" s="9">
        <v>5.0</v>
      </c>
      <c r="M49" s="9">
        <v>5.0</v>
      </c>
      <c r="N49" s="9">
        <v>5.0</v>
      </c>
      <c r="O49" s="9">
        <v>10.0</v>
      </c>
    </row>
    <row r="50" ht="22.5" customHeight="1">
      <c r="A50" s="8">
        <v>46079.49001951389</v>
      </c>
      <c r="B50" s="9" t="s">
        <v>17</v>
      </c>
      <c r="C50" s="10">
        <v>46079.0</v>
      </c>
      <c r="D50" s="9" t="s">
        <v>18</v>
      </c>
      <c r="F50" s="9" t="s">
        <v>24</v>
      </c>
      <c r="G50" s="9" t="s">
        <v>20</v>
      </c>
      <c r="H50" s="9">
        <v>5.0</v>
      </c>
      <c r="I50" s="9">
        <v>5.0</v>
      </c>
      <c r="L50" s="9">
        <v>5.0</v>
      </c>
      <c r="M50" s="9">
        <v>5.0</v>
      </c>
      <c r="N50" s="9">
        <v>5.0</v>
      </c>
      <c r="O50" s="9">
        <v>10.0</v>
      </c>
    </row>
    <row r="51" ht="22.5" customHeight="1">
      <c r="A51" s="8">
        <v>46139.43855144676</v>
      </c>
      <c r="B51" s="9" t="s">
        <v>17</v>
      </c>
      <c r="C51" s="10">
        <v>46080.0</v>
      </c>
      <c r="D51" s="9" t="s">
        <v>18</v>
      </c>
      <c r="E51" s="9" t="s">
        <v>28</v>
      </c>
      <c r="F51" s="9" t="s">
        <v>24</v>
      </c>
      <c r="G51" s="9" t="s">
        <v>20</v>
      </c>
      <c r="H51" s="9">
        <v>5.0</v>
      </c>
      <c r="I51" s="9">
        <v>5.0</v>
      </c>
      <c r="J51" s="9">
        <v>5.0</v>
      </c>
      <c r="K51" s="9">
        <v>5.0</v>
      </c>
      <c r="L51" s="9">
        <v>5.0</v>
      </c>
      <c r="M51" s="9">
        <v>5.0</v>
      </c>
      <c r="N51" s="9">
        <v>5.0</v>
      </c>
      <c r="O51" s="9">
        <v>10.0</v>
      </c>
      <c r="P51" s="9" t="s">
        <v>34</v>
      </c>
    </row>
    <row r="52" ht="22.5" customHeight="1">
      <c r="A52" s="8">
        <v>46139.440324062496</v>
      </c>
      <c r="B52" s="9" t="s">
        <v>17</v>
      </c>
      <c r="C52" s="10">
        <v>46139.0</v>
      </c>
      <c r="D52" s="9" t="s">
        <v>18</v>
      </c>
      <c r="F52" s="9" t="s">
        <v>24</v>
      </c>
      <c r="G52" s="9" t="s">
        <v>48</v>
      </c>
      <c r="H52" s="9">
        <v>5.0</v>
      </c>
      <c r="I52" s="9">
        <v>4.0</v>
      </c>
      <c r="J52" s="9">
        <v>4.0</v>
      </c>
      <c r="K52" s="9">
        <v>5.0</v>
      </c>
      <c r="L52" s="9">
        <v>4.0</v>
      </c>
      <c r="M52" s="9">
        <v>4.0</v>
      </c>
      <c r="N52" s="9">
        <v>5.0</v>
      </c>
      <c r="O52" s="9">
        <v>8.0</v>
      </c>
    </row>
    <row r="53" ht="22.5" customHeight="1">
      <c r="A53" s="8">
        <v>46262.65782010417</v>
      </c>
      <c r="B53" s="9" t="s">
        <v>17</v>
      </c>
      <c r="C53" s="10">
        <v>46262.0</v>
      </c>
      <c r="D53" s="9" t="s">
        <v>18</v>
      </c>
      <c r="E53" s="9" t="s">
        <v>65</v>
      </c>
      <c r="F53" s="9" t="s">
        <v>24</v>
      </c>
      <c r="G53" s="9" t="s">
        <v>20</v>
      </c>
      <c r="H53" s="9">
        <v>5.0</v>
      </c>
      <c r="I53" s="9">
        <v>5.0</v>
      </c>
      <c r="J53" s="9">
        <v>5.0</v>
      </c>
      <c r="K53" s="9">
        <v>5.0</v>
      </c>
      <c r="L53" s="9">
        <v>5.0</v>
      </c>
      <c r="M53" s="9">
        <v>5.0</v>
      </c>
      <c r="N53" s="9">
        <v>5.0</v>
      </c>
      <c r="O53" s="9">
        <v>10.0</v>
      </c>
      <c r="P53" s="9" t="s">
        <v>95</v>
      </c>
      <c r="Q53" s="9" t="s">
        <v>95</v>
      </c>
    </row>
    <row r="54" ht="22.5" customHeight="1">
      <c r="A54" s="8">
        <v>46262.657904618056</v>
      </c>
      <c r="B54" s="9" t="s">
        <v>17</v>
      </c>
      <c r="C54" s="10">
        <v>46262.0</v>
      </c>
      <c r="D54" s="9" t="s">
        <v>18</v>
      </c>
      <c r="E54" s="9" t="s">
        <v>65</v>
      </c>
      <c r="F54" s="9" t="s">
        <v>24</v>
      </c>
      <c r="G54" s="9" t="s">
        <v>30</v>
      </c>
      <c r="H54" s="9">
        <v>5.0</v>
      </c>
      <c r="I54" s="9">
        <v>5.0</v>
      </c>
      <c r="J54" s="9">
        <v>5.0</v>
      </c>
      <c r="K54" s="9">
        <v>5.0</v>
      </c>
      <c r="L54" s="9">
        <v>5.0</v>
      </c>
      <c r="M54" s="9">
        <v>5.0</v>
      </c>
      <c r="N54" s="9">
        <v>5.0</v>
      </c>
      <c r="O54" s="9">
        <v>10.0</v>
      </c>
    </row>
    <row r="55" ht="22.5" customHeight="1">
      <c r="A55" s="8">
        <v>46262.65799119213</v>
      </c>
      <c r="B55" s="9" t="s">
        <v>17</v>
      </c>
      <c r="C55" s="10">
        <v>46262.0</v>
      </c>
      <c r="D55" s="9" t="s">
        <v>18</v>
      </c>
      <c r="E55" s="9" t="s">
        <v>65</v>
      </c>
      <c r="F55" s="9" t="s">
        <v>24</v>
      </c>
      <c r="G55" s="9" t="s">
        <v>20</v>
      </c>
      <c r="H55" s="9">
        <v>5.0</v>
      </c>
      <c r="I55" s="9">
        <v>5.0</v>
      </c>
      <c r="J55" s="9">
        <v>5.0</v>
      </c>
      <c r="K55" s="9">
        <v>5.0</v>
      </c>
      <c r="L55" s="9">
        <v>5.0</v>
      </c>
      <c r="M55" s="9">
        <v>5.0</v>
      </c>
      <c r="N55" s="9">
        <v>5.0</v>
      </c>
      <c r="O55" s="9">
        <v>10.0</v>
      </c>
      <c r="P55" s="9" t="s">
        <v>96</v>
      </c>
      <c r="Q55" s="9" t="s">
        <v>35</v>
      </c>
    </row>
    <row r="56" ht="22.5" customHeight="1">
      <c r="A56" s="8">
        <v>46262.658080532405</v>
      </c>
      <c r="B56" s="9" t="s">
        <v>17</v>
      </c>
      <c r="C56" s="10">
        <v>46262.0</v>
      </c>
      <c r="D56" s="9" t="s">
        <v>18</v>
      </c>
      <c r="E56" s="9" t="s">
        <v>65</v>
      </c>
      <c r="F56" s="9" t="s">
        <v>24</v>
      </c>
      <c r="G56" s="9" t="s">
        <v>20</v>
      </c>
      <c r="H56" s="9">
        <v>5.0</v>
      </c>
      <c r="I56" s="9">
        <v>5.0</v>
      </c>
      <c r="J56" s="9">
        <v>5.0</v>
      </c>
      <c r="K56" s="9">
        <v>5.0</v>
      </c>
      <c r="L56" s="9">
        <v>5.0</v>
      </c>
      <c r="M56" s="9">
        <v>5.0</v>
      </c>
      <c r="N56" s="9">
        <v>5.0</v>
      </c>
      <c r="O56" s="9">
        <v>10.0</v>
      </c>
    </row>
    <row r="57" ht="22.5" customHeight="1">
      <c r="A57" s="8">
        <v>46262.658168009264</v>
      </c>
      <c r="B57" s="9" t="s">
        <v>17</v>
      </c>
      <c r="C57" s="10">
        <v>46262.0</v>
      </c>
      <c r="D57" s="9" t="s">
        <v>18</v>
      </c>
      <c r="F57" s="9" t="s">
        <v>19</v>
      </c>
      <c r="G57" s="9" t="s">
        <v>36</v>
      </c>
      <c r="H57" s="9">
        <v>4.0</v>
      </c>
      <c r="I57" s="9">
        <v>4.0</v>
      </c>
      <c r="J57" s="9">
        <v>4.0</v>
      </c>
      <c r="K57" s="9">
        <v>5.0</v>
      </c>
      <c r="L57" s="9">
        <v>4.0</v>
      </c>
      <c r="M57" s="9">
        <v>2.0</v>
      </c>
      <c r="N57" s="9">
        <v>4.0</v>
      </c>
      <c r="O57" s="9">
        <v>9.0</v>
      </c>
    </row>
    <row r="58" ht="22.5" customHeight="1">
      <c r="A58" s="8">
        <v>46262.65822657407</v>
      </c>
      <c r="B58" s="9" t="s">
        <v>17</v>
      </c>
      <c r="C58" s="10">
        <v>39728.0</v>
      </c>
      <c r="D58" s="9" t="s">
        <v>18</v>
      </c>
      <c r="E58" s="9" t="s">
        <v>97</v>
      </c>
      <c r="F58" s="9" t="s">
        <v>24</v>
      </c>
      <c r="G58" s="9" t="s">
        <v>30</v>
      </c>
      <c r="H58" s="9">
        <v>5.0</v>
      </c>
      <c r="I58" s="9">
        <v>5.0</v>
      </c>
      <c r="J58" s="9">
        <v>5.0</v>
      </c>
      <c r="K58" s="9">
        <v>5.0</v>
      </c>
      <c r="L58" s="9">
        <v>5.0</v>
      </c>
      <c r="M58" s="9">
        <v>5.0</v>
      </c>
      <c r="N58" s="9">
        <v>5.0</v>
      </c>
      <c r="O58" s="9">
        <v>10.0</v>
      </c>
    </row>
    <row r="59" ht="22.5" customHeight="1">
      <c r="A59" s="8">
        <v>46262.65827425926</v>
      </c>
      <c r="B59" s="9" t="s">
        <v>17</v>
      </c>
      <c r="C59" s="10">
        <v>46262.0</v>
      </c>
      <c r="D59" s="9" t="s">
        <v>18</v>
      </c>
      <c r="E59" s="9" t="s">
        <v>98</v>
      </c>
      <c r="F59" s="9" t="s">
        <v>24</v>
      </c>
      <c r="G59" s="9" t="s">
        <v>30</v>
      </c>
      <c r="H59" s="9">
        <v>5.0</v>
      </c>
      <c r="I59" s="9">
        <v>5.0</v>
      </c>
      <c r="J59" s="9">
        <v>5.0</v>
      </c>
      <c r="K59" s="9">
        <v>5.0</v>
      </c>
      <c r="L59" s="9">
        <v>5.0</v>
      </c>
      <c r="M59" s="9">
        <v>5.0</v>
      </c>
      <c r="O59" s="9">
        <v>10.0</v>
      </c>
    </row>
    <row r="60" ht="22.5" customHeight="1">
      <c r="A60" s="8">
        <v>46262.659314965276</v>
      </c>
      <c r="B60" s="9" t="s">
        <v>17</v>
      </c>
      <c r="C60" s="10">
        <v>46262.0</v>
      </c>
      <c r="D60" s="9" t="s">
        <v>18</v>
      </c>
      <c r="E60" s="9" t="s">
        <v>65</v>
      </c>
      <c r="F60" s="9" t="s">
        <v>19</v>
      </c>
      <c r="G60" s="9" t="s">
        <v>30</v>
      </c>
      <c r="H60" s="9">
        <v>5.0</v>
      </c>
      <c r="I60" s="9">
        <v>5.0</v>
      </c>
      <c r="J60" s="9">
        <v>5.0</v>
      </c>
      <c r="K60" s="9">
        <v>5.0</v>
      </c>
      <c r="L60" s="9">
        <v>5.0</v>
      </c>
      <c r="M60" s="9">
        <v>5.0</v>
      </c>
      <c r="N60" s="9">
        <v>5.0</v>
      </c>
      <c r="O60" s="9">
        <v>10.0</v>
      </c>
    </row>
    <row r="61" ht="22.5" customHeight="1">
      <c r="A61" s="8">
        <v>46267.421586412034</v>
      </c>
      <c r="B61" s="9" t="s">
        <v>17</v>
      </c>
      <c r="C61" s="10">
        <v>46267.0</v>
      </c>
      <c r="D61" s="9" t="s">
        <v>18</v>
      </c>
      <c r="F61" s="9" t="s">
        <v>19</v>
      </c>
      <c r="G61" s="9" t="s">
        <v>20</v>
      </c>
      <c r="H61" s="9">
        <v>5.0</v>
      </c>
      <c r="I61" s="9">
        <v>5.0</v>
      </c>
      <c r="J61" s="9">
        <v>5.0</v>
      </c>
      <c r="K61" s="9">
        <v>5.0</v>
      </c>
      <c r="L61" s="9">
        <v>5.0</v>
      </c>
      <c r="M61" s="9">
        <v>5.0</v>
      </c>
      <c r="N61" s="9">
        <v>5.0</v>
      </c>
      <c r="O61" s="9">
        <v>10.0</v>
      </c>
    </row>
    <row r="62" ht="22.5" customHeight="1">
      <c r="A62" s="8">
        <v>46267.42290009259</v>
      </c>
      <c r="B62" s="9" t="s">
        <v>17</v>
      </c>
      <c r="C62" s="10">
        <v>46267.0</v>
      </c>
      <c r="D62" s="9" t="s">
        <v>18</v>
      </c>
      <c r="F62" s="9" t="s">
        <v>19</v>
      </c>
      <c r="G62" s="9" t="s">
        <v>48</v>
      </c>
      <c r="H62" s="9">
        <v>3.0</v>
      </c>
      <c r="I62" s="9">
        <v>4.0</v>
      </c>
      <c r="J62" s="9">
        <v>3.0</v>
      </c>
      <c r="K62" s="9">
        <v>3.0</v>
      </c>
      <c r="L62" s="9">
        <v>3.0</v>
      </c>
      <c r="M62" s="9">
        <v>3.0</v>
      </c>
      <c r="N62" s="9">
        <v>3.0</v>
      </c>
      <c r="O62" s="9">
        <v>6.0</v>
      </c>
    </row>
    <row r="63" ht="22.5" customHeight="1">
      <c r="A63" s="8">
        <v>46267.42407472222</v>
      </c>
      <c r="B63" s="9" t="s">
        <v>17</v>
      </c>
      <c r="C63" s="10">
        <v>46262.0</v>
      </c>
      <c r="D63" s="9" t="s">
        <v>18</v>
      </c>
      <c r="E63" s="9" t="s">
        <v>81</v>
      </c>
      <c r="F63" s="9" t="s">
        <v>19</v>
      </c>
      <c r="G63" s="9" t="s">
        <v>20</v>
      </c>
      <c r="H63" s="9">
        <v>5.0</v>
      </c>
      <c r="I63" s="9">
        <v>5.0</v>
      </c>
      <c r="J63" s="9">
        <v>4.0</v>
      </c>
      <c r="K63" s="9">
        <v>4.0</v>
      </c>
      <c r="L63" s="9">
        <v>4.0</v>
      </c>
      <c r="M63" s="9">
        <v>4.0</v>
      </c>
      <c r="N63" s="9">
        <v>4.0</v>
      </c>
      <c r="O63" s="9">
        <v>8.0</v>
      </c>
    </row>
    <row r="64" ht="22.5" customHeight="1">
      <c r="A64" s="8">
        <v>46267.42532554398</v>
      </c>
      <c r="B64" s="9" t="s">
        <v>17</v>
      </c>
      <c r="C64" s="10">
        <v>46262.0</v>
      </c>
      <c r="D64" s="9" t="s">
        <v>18</v>
      </c>
      <c r="E64" s="9" t="s">
        <v>99</v>
      </c>
      <c r="F64" s="9" t="s">
        <v>24</v>
      </c>
      <c r="G64" s="9" t="s">
        <v>25</v>
      </c>
      <c r="H64" s="9">
        <v>3.0</v>
      </c>
      <c r="I64" s="9">
        <v>5.0</v>
      </c>
      <c r="J64" s="9">
        <v>4.0</v>
      </c>
      <c r="K64" s="9">
        <v>5.0</v>
      </c>
      <c r="L64" s="9">
        <v>5.0</v>
      </c>
      <c r="M64" s="9">
        <v>5.0</v>
      </c>
      <c r="N64" s="9">
        <v>4.0</v>
      </c>
      <c r="O64" s="9">
        <v>10.0</v>
      </c>
    </row>
    <row r="65" ht="22.5" customHeight="1">
      <c r="A65" s="8">
        <v>46267.428899861115</v>
      </c>
      <c r="B65" s="9" t="s">
        <v>17</v>
      </c>
      <c r="C65" s="10">
        <v>46267.0</v>
      </c>
      <c r="D65" s="9" t="s">
        <v>18</v>
      </c>
      <c r="F65" s="9" t="s">
        <v>24</v>
      </c>
      <c r="G65" s="9" t="s">
        <v>20</v>
      </c>
      <c r="H65" s="9">
        <v>5.0</v>
      </c>
      <c r="I65" s="9">
        <v>5.0</v>
      </c>
      <c r="J65" s="9">
        <v>5.0</v>
      </c>
      <c r="K65" s="9">
        <v>5.0</v>
      </c>
      <c r="L65" s="9">
        <v>5.0</v>
      </c>
      <c r="M65" s="9">
        <v>5.0</v>
      </c>
      <c r="N65" s="9">
        <v>5.0</v>
      </c>
      <c r="O65" s="9">
        <v>10.0</v>
      </c>
      <c r="P65" s="9" t="s">
        <v>100</v>
      </c>
      <c r="Q65" s="9" t="s">
        <v>101</v>
      </c>
    </row>
    <row r="66" ht="22.5" customHeight="1">
      <c r="A66" s="8">
        <v>46267.643624108794</v>
      </c>
      <c r="B66" s="9" t="s">
        <v>17</v>
      </c>
      <c r="C66" s="10">
        <v>46267.0</v>
      </c>
      <c r="D66" s="9" t="s">
        <v>18</v>
      </c>
      <c r="F66" s="9" t="s">
        <v>24</v>
      </c>
      <c r="G66" s="9" t="s">
        <v>20</v>
      </c>
      <c r="H66" s="9">
        <v>5.0</v>
      </c>
      <c r="I66" s="9">
        <v>5.0</v>
      </c>
      <c r="J66" s="9">
        <v>5.0</v>
      </c>
      <c r="K66" s="9">
        <v>5.0</v>
      </c>
      <c r="L66" s="9">
        <v>5.0</v>
      </c>
      <c r="M66" s="9">
        <v>5.0</v>
      </c>
      <c r="N66" s="9">
        <v>5.0</v>
      </c>
      <c r="O66" s="9">
        <v>10.0</v>
      </c>
    </row>
    <row r="67" ht="22.5" customHeight="1">
      <c r="A67" s="8">
        <v>46300.45677822917</v>
      </c>
      <c r="B67" s="9" t="s">
        <v>17</v>
      </c>
      <c r="C67" s="10">
        <v>46293.0</v>
      </c>
      <c r="D67" s="9" t="s">
        <v>18</v>
      </c>
      <c r="F67" s="9" t="s">
        <v>24</v>
      </c>
      <c r="G67" s="9" t="s">
        <v>25</v>
      </c>
      <c r="H67" s="9">
        <v>3.0</v>
      </c>
      <c r="I67" s="9">
        <v>5.0</v>
      </c>
      <c r="J67" s="9">
        <v>4.0</v>
      </c>
      <c r="K67" s="9">
        <v>5.0</v>
      </c>
      <c r="L67" s="9">
        <v>5.0</v>
      </c>
      <c r="M67" s="9">
        <v>5.0</v>
      </c>
      <c r="N67" s="9">
        <v>5.0</v>
      </c>
      <c r="O67" s="9">
        <v>10.0</v>
      </c>
    </row>
    <row r="68" ht="22.5" customHeight="1">
      <c r="A68" s="8">
        <v>46300.45812877315</v>
      </c>
      <c r="B68" s="9" t="s">
        <v>17</v>
      </c>
      <c r="C68" s="10">
        <v>46293.0</v>
      </c>
      <c r="D68" s="9" t="s">
        <v>18</v>
      </c>
      <c r="E68" s="9" t="s">
        <v>81</v>
      </c>
      <c r="F68" s="9" t="s">
        <v>19</v>
      </c>
      <c r="G68" s="9" t="s">
        <v>25</v>
      </c>
      <c r="H68" s="9">
        <v>5.0</v>
      </c>
      <c r="I68" s="9">
        <v>5.0</v>
      </c>
      <c r="J68" s="9">
        <v>5.0</v>
      </c>
      <c r="K68" s="9">
        <v>4.0</v>
      </c>
      <c r="L68" s="9">
        <v>4.0</v>
      </c>
      <c r="M68" s="9">
        <v>4.0</v>
      </c>
      <c r="N68" s="9">
        <v>4.0</v>
      </c>
      <c r="O68" s="9">
        <v>3.0</v>
      </c>
    </row>
    <row r="69" ht="22.5" customHeight="1">
      <c r="A69" s="8">
        <v>46300.46172155092</v>
      </c>
      <c r="B69" s="9" t="s">
        <v>17</v>
      </c>
      <c r="C69" s="10">
        <v>46288.0</v>
      </c>
      <c r="D69" s="9" t="s">
        <v>18</v>
      </c>
      <c r="E69" s="9" t="s">
        <v>102</v>
      </c>
      <c r="F69" s="9" t="s">
        <v>19</v>
      </c>
      <c r="G69" s="9" t="s">
        <v>62</v>
      </c>
      <c r="H69" s="9">
        <v>4.0</v>
      </c>
      <c r="I69" s="9">
        <v>4.0</v>
      </c>
      <c r="J69" s="9">
        <v>5.0</v>
      </c>
      <c r="K69" s="9">
        <v>5.0</v>
      </c>
      <c r="L69" s="9">
        <v>4.0</v>
      </c>
      <c r="M69" s="9">
        <v>4.0</v>
      </c>
      <c r="N69" s="9">
        <v>4.0</v>
      </c>
      <c r="O69" s="9">
        <v>8.0</v>
      </c>
    </row>
    <row r="70" ht="22.5" customHeight="1">
      <c r="A70" s="8">
        <v>46300.46330752315</v>
      </c>
      <c r="B70" s="9" t="s">
        <v>17</v>
      </c>
      <c r="C70" s="10">
        <v>46288.0</v>
      </c>
      <c r="D70" s="9" t="s">
        <v>18</v>
      </c>
      <c r="F70" s="9" t="s">
        <v>24</v>
      </c>
      <c r="G70" s="9" t="s">
        <v>62</v>
      </c>
      <c r="H70" s="9">
        <v>5.0</v>
      </c>
      <c r="I70" s="9">
        <v>5.0</v>
      </c>
      <c r="J70" s="9">
        <v>4.0</v>
      </c>
      <c r="K70" s="9">
        <v>4.0</v>
      </c>
      <c r="L70" s="9">
        <v>5.0</v>
      </c>
      <c r="M70" s="9">
        <v>5.0</v>
      </c>
      <c r="N70" s="9">
        <v>5.0</v>
      </c>
      <c r="O70" s="9">
        <v>10.0</v>
      </c>
    </row>
    <row r="71" ht="22.5" customHeight="1">
      <c r="A71" s="8">
        <v>46300.465317951384</v>
      </c>
      <c r="B71" s="9" t="s">
        <v>17</v>
      </c>
      <c r="C71" s="10">
        <v>46288.0</v>
      </c>
      <c r="D71" s="9" t="s">
        <v>18</v>
      </c>
      <c r="E71" s="9" t="s">
        <v>103</v>
      </c>
      <c r="F71" s="9" t="s">
        <v>24</v>
      </c>
      <c r="G71" s="9" t="s">
        <v>62</v>
      </c>
      <c r="H71" s="9">
        <v>4.0</v>
      </c>
      <c r="I71" s="9">
        <v>5.0</v>
      </c>
      <c r="J71" s="9">
        <v>5.0</v>
      </c>
      <c r="K71" s="9">
        <v>5.0</v>
      </c>
      <c r="L71" s="9">
        <v>5.0</v>
      </c>
      <c r="M71" s="9">
        <v>5.0</v>
      </c>
      <c r="N71" s="9">
        <v>5.0</v>
      </c>
      <c r="O71" s="9">
        <v>9.0</v>
      </c>
    </row>
    <row r="72" ht="22.5" customHeight="1">
      <c r="A72" s="8">
        <v>46300.4698397801</v>
      </c>
      <c r="B72" s="9" t="s">
        <v>17</v>
      </c>
      <c r="C72" s="10">
        <v>46288.0</v>
      </c>
      <c r="D72" s="9" t="s">
        <v>104</v>
      </c>
      <c r="F72" s="9" t="s">
        <v>19</v>
      </c>
      <c r="G72" s="9" t="s">
        <v>48</v>
      </c>
      <c r="H72" s="9">
        <v>4.0</v>
      </c>
      <c r="I72" s="9">
        <v>4.0</v>
      </c>
      <c r="K72" s="9">
        <v>4.0</v>
      </c>
      <c r="L72" s="9">
        <v>4.0</v>
      </c>
      <c r="M72" s="9">
        <v>4.0</v>
      </c>
      <c r="N72" s="9">
        <v>4.0</v>
      </c>
      <c r="O72" s="9">
        <v>9.0</v>
      </c>
    </row>
    <row r="73" ht="22.5" customHeight="1">
      <c r="A73" s="8">
        <v>46300.470825798606</v>
      </c>
      <c r="B73" s="9" t="s">
        <v>17</v>
      </c>
      <c r="C73" s="10">
        <v>46288.0</v>
      </c>
      <c r="D73" s="9" t="s">
        <v>104</v>
      </c>
      <c r="F73" s="9" t="s">
        <v>24</v>
      </c>
      <c r="G73" s="9" t="s">
        <v>48</v>
      </c>
      <c r="H73" s="9">
        <v>4.0</v>
      </c>
      <c r="I73" s="9">
        <v>5.0</v>
      </c>
      <c r="J73" s="9">
        <v>4.0</v>
      </c>
      <c r="K73" s="9">
        <v>5.0</v>
      </c>
      <c r="L73" s="9">
        <v>5.0</v>
      </c>
      <c r="M73" s="9">
        <v>5.0</v>
      </c>
      <c r="N73" s="9">
        <v>5.0</v>
      </c>
      <c r="O73" s="9">
        <v>9.0</v>
      </c>
    </row>
    <row r="74" ht="22.5" customHeight="1">
      <c r="A74" s="8">
        <v>46300.4721775463</v>
      </c>
      <c r="B74" s="9" t="s">
        <v>17</v>
      </c>
      <c r="C74" s="10">
        <v>46288.0</v>
      </c>
      <c r="D74" s="9" t="s">
        <v>18</v>
      </c>
      <c r="E74" s="9" t="s">
        <v>102</v>
      </c>
      <c r="F74" s="9" t="s">
        <v>24</v>
      </c>
      <c r="G74" s="9" t="s">
        <v>62</v>
      </c>
      <c r="H74" s="9">
        <v>4.0</v>
      </c>
      <c r="I74" s="9">
        <v>5.0</v>
      </c>
      <c r="J74" s="9">
        <v>5.0</v>
      </c>
      <c r="K74" s="9">
        <v>5.0</v>
      </c>
      <c r="L74" s="9">
        <v>5.0</v>
      </c>
      <c r="M74" s="9">
        <v>5.0</v>
      </c>
      <c r="N74" s="9">
        <v>5.0</v>
      </c>
      <c r="O74" s="9">
        <v>10.0</v>
      </c>
    </row>
    <row r="75" ht="22.5" customHeight="1">
      <c r="A75" s="8">
        <v>46300.47289839121</v>
      </c>
      <c r="B75" s="9" t="s">
        <v>17</v>
      </c>
      <c r="C75" s="10">
        <v>46288.0</v>
      </c>
      <c r="D75" s="9" t="s">
        <v>18</v>
      </c>
      <c r="F75" s="9" t="s">
        <v>19</v>
      </c>
      <c r="G75" s="9" t="s">
        <v>62</v>
      </c>
      <c r="H75" s="9">
        <v>5.0</v>
      </c>
      <c r="I75" s="9">
        <v>5.0</v>
      </c>
      <c r="J75" s="9">
        <v>5.0</v>
      </c>
      <c r="K75" s="9">
        <v>5.0</v>
      </c>
      <c r="M75" s="9">
        <v>5.0</v>
      </c>
      <c r="N75" s="9">
        <v>5.0</v>
      </c>
      <c r="O75" s="9">
        <v>9.0</v>
      </c>
    </row>
    <row r="76" ht="22.5" customHeight="1">
      <c r="A76" s="8">
        <v>46300.4737178125</v>
      </c>
      <c r="B76" s="9" t="s">
        <v>17</v>
      </c>
      <c r="C76" s="10" t="s">
        <v>105</v>
      </c>
      <c r="D76" s="9" t="s">
        <v>18</v>
      </c>
      <c r="F76" s="9" t="s">
        <v>24</v>
      </c>
      <c r="G76" s="9" t="s">
        <v>48</v>
      </c>
      <c r="H76" s="9">
        <v>5.0</v>
      </c>
      <c r="I76" s="9">
        <v>5.0</v>
      </c>
      <c r="J76" s="9">
        <v>4.0</v>
      </c>
      <c r="K76" s="9">
        <v>5.0</v>
      </c>
      <c r="L76" s="9">
        <v>5.0</v>
      </c>
      <c r="M76" s="9">
        <v>4.0</v>
      </c>
      <c r="N76" s="9">
        <v>5.0</v>
      </c>
      <c r="O76" s="9">
        <v>9.0</v>
      </c>
    </row>
    <row r="77" ht="22.5" customHeight="1">
      <c r="A77" s="8">
        <v>46300.47515662037</v>
      </c>
      <c r="B77" s="9" t="s">
        <v>17</v>
      </c>
      <c r="C77" s="10">
        <v>46290.0</v>
      </c>
      <c r="D77" s="9" t="s">
        <v>18</v>
      </c>
      <c r="F77" s="9" t="s">
        <v>24</v>
      </c>
      <c r="G77" s="9" t="s">
        <v>25</v>
      </c>
      <c r="H77" s="9">
        <v>5.0</v>
      </c>
      <c r="I77" s="9">
        <v>5.0</v>
      </c>
      <c r="J77" s="9">
        <v>5.0</v>
      </c>
      <c r="K77" s="9">
        <v>5.0</v>
      </c>
      <c r="L77" s="9">
        <v>5.0</v>
      </c>
      <c r="M77" s="9">
        <v>5.0</v>
      </c>
      <c r="N77" s="9">
        <v>5.0</v>
      </c>
      <c r="O77" s="9">
        <v>10.0</v>
      </c>
    </row>
    <row r="78" ht="22.5" customHeight="1">
      <c r="A78" s="8">
        <v>46300.47602716435</v>
      </c>
      <c r="B78" s="9" t="s">
        <v>17</v>
      </c>
      <c r="C78" s="10">
        <v>46282.0</v>
      </c>
      <c r="D78" s="9" t="s">
        <v>18</v>
      </c>
      <c r="F78" s="9" t="s">
        <v>24</v>
      </c>
      <c r="G78" s="9" t="s">
        <v>62</v>
      </c>
      <c r="H78" s="9">
        <v>5.0</v>
      </c>
      <c r="I78" s="9">
        <v>5.0</v>
      </c>
      <c r="J78" s="9">
        <v>5.0</v>
      </c>
      <c r="K78" s="9">
        <v>5.0</v>
      </c>
      <c r="L78" s="9">
        <v>5.0</v>
      </c>
      <c r="M78" s="9">
        <v>5.0</v>
      </c>
      <c r="N78" s="9">
        <v>5.0</v>
      </c>
      <c r="O78" s="9">
        <v>10.0</v>
      </c>
    </row>
    <row r="79" ht="22.5" customHeight="1">
      <c r="A79" s="8">
        <v>46300.47803863426</v>
      </c>
      <c r="B79" s="9" t="s">
        <v>17</v>
      </c>
      <c r="C79" s="10">
        <v>46275.0</v>
      </c>
      <c r="D79" s="9" t="s">
        <v>18</v>
      </c>
      <c r="F79" s="9" t="s">
        <v>24</v>
      </c>
      <c r="G79" s="9" t="s">
        <v>62</v>
      </c>
      <c r="H79" s="9">
        <v>5.0</v>
      </c>
      <c r="I79" s="9">
        <v>5.0</v>
      </c>
      <c r="J79" s="9">
        <v>5.0</v>
      </c>
      <c r="K79" s="9">
        <v>5.0</v>
      </c>
      <c r="L79" s="9">
        <v>5.0</v>
      </c>
      <c r="M79" s="9">
        <v>5.0</v>
      </c>
      <c r="N79" s="9">
        <v>5.0</v>
      </c>
      <c r="O79" s="9">
        <v>10.0</v>
      </c>
      <c r="P79" s="9" t="s">
        <v>106</v>
      </c>
    </row>
    <row r="80" ht="22.5" customHeight="1">
      <c r="A80" s="8">
        <v>46300.47922364583</v>
      </c>
      <c r="B80" s="9" t="s">
        <v>17</v>
      </c>
      <c r="C80" s="10">
        <v>46293.0</v>
      </c>
      <c r="D80" s="9" t="s">
        <v>18</v>
      </c>
      <c r="F80" s="9" t="s">
        <v>24</v>
      </c>
      <c r="G80" s="9" t="s">
        <v>20</v>
      </c>
      <c r="H80" s="9">
        <v>4.0</v>
      </c>
      <c r="I80" s="9">
        <v>4.0</v>
      </c>
      <c r="J80" s="9">
        <v>3.0</v>
      </c>
      <c r="K80" s="9">
        <v>4.0</v>
      </c>
      <c r="M80" s="9">
        <v>4.0</v>
      </c>
      <c r="N80" s="9">
        <v>4.0</v>
      </c>
      <c r="O80" s="9">
        <v>5.0</v>
      </c>
    </row>
    <row r="81" ht="22.5" customHeight="1">
      <c r="A81" s="8">
        <v>46300.48011238426</v>
      </c>
      <c r="B81" s="9" t="s">
        <v>17</v>
      </c>
      <c r="C81" s="10">
        <v>46267.0</v>
      </c>
      <c r="D81" s="9" t="s">
        <v>18</v>
      </c>
      <c r="F81" s="9" t="s">
        <v>19</v>
      </c>
      <c r="G81" s="9" t="s">
        <v>25</v>
      </c>
      <c r="H81" s="9">
        <v>4.0</v>
      </c>
      <c r="I81" s="9">
        <v>4.0</v>
      </c>
      <c r="J81" s="9">
        <v>4.0</v>
      </c>
      <c r="K81" s="9">
        <v>5.0</v>
      </c>
      <c r="M81" s="9">
        <v>5.0</v>
      </c>
      <c r="N81" s="9">
        <v>5.0</v>
      </c>
      <c r="O81" s="9">
        <v>10.0</v>
      </c>
    </row>
    <row r="82" ht="22.5" customHeight="1">
      <c r="A82" s="8">
        <v>46300.482212523144</v>
      </c>
      <c r="B82" s="9" t="s">
        <v>17</v>
      </c>
      <c r="C82" s="10">
        <v>46270.0</v>
      </c>
      <c r="D82" s="9" t="s">
        <v>29</v>
      </c>
      <c r="F82" s="9" t="s">
        <v>19</v>
      </c>
      <c r="G82" s="9" t="s">
        <v>48</v>
      </c>
      <c r="H82" s="9">
        <v>5.0</v>
      </c>
      <c r="I82" s="9">
        <v>5.0</v>
      </c>
      <c r="J82" s="9">
        <v>5.0</v>
      </c>
      <c r="K82" s="9">
        <v>5.0</v>
      </c>
      <c r="L82" s="9">
        <v>5.0</v>
      </c>
      <c r="M82" s="9">
        <v>5.0</v>
      </c>
      <c r="N82" s="9">
        <v>5.0</v>
      </c>
      <c r="O82" s="9">
        <v>10.0</v>
      </c>
    </row>
    <row r="83" ht="22.5" customHeight="1">
      <c r="A83" s="8">
        <v>46300.482718831016</v>
      </c>
      <c r="B83" s="9" t="s">
        <v>17</v>
      </c>
      <c r="C83" s="10">
        <v>46275.0</v>
      </c>
      <c r="D83" s="9" t="s">
        <v>29</v>
      </c>
      <c r="F83" s="9" t="s">
        <v>19</v>
      </c>
      <c r="G83" s="9" t="s">
        <v>48</v>
      </c>
      <c r="H83" s="9">
        <v>5.0</v>
      </c>
      <c r="I83" s="9">
        <v>4.0</v>
      </c>
      <c r="J83" s="9">
        <v>5.0</v>
      </c>
      <c r="K83" s="9">
        <v>4.0</v>
      </c>
      <c r="L83" s="9">
        <v>5.0</v>
      </c>
      <c r="M83" s="9">
        <v>4.0</v>
      </c>
      <c r="N83" s="9">
        <v>5.0</v>
      </c>
      <c r="O83" s="9">
        <v>10.0</v>
      </c>
    </row>
    <row r="84" ht="22.5" customHeight="1">
      <c r="A84" s="8">
        <v>46300.48338866898</v>
      </c>
      <c r="B84" s="9" t="s">
        <v>17</v>
      </c>
      <c r="C84" s="10">
        <v>46275.0</v>
      </c>
      <c r="D84" s="9" t="s">
        <v>29</v>
      </c>
      <c r="F84" s="9" t="s">
        <v>19</v>
      </c>
      <c r="G84" s="9" t="s">
        <v>48</v>
      </c>
      <c r="H84" s="9">
        <v>4.0</v>
      </c>
      <c r="I84" s="9">
        <v>5.0</v>
      </c>
      <c r="J84" s="9">
        <v>4.0</v>
      </c>
      <c r="K84" s="9">
        <v>4.0</v>
      </c>
      <c r="L84" s="9">
        <v>5.0</v>
      </c>
      <c r="M84" s="9">
        <v>5.0</v>
      </c>
      <c r="N84" s="9">
        <v>4.0</v>
      </c>
      <c r="O84" s="9">
        <v>9.0</v>
      </c>
    </row>
    <row r="85" ht="22.5" customHeight="1">
      <c r="A85" s="8">
        <v>46300.483968252316</v>
      </c>
      <c r="B85" s="9" t="s">
        <v>17</v>
      </c>
      <c r="C85" s="10">
        <v>46275.0</v>
      </c>
      <c r="D85" s="9" t="s">
        <v>29</v>
      </c>
      <c r="F85" s="9" t="s">
        <v>19</v>
      </c>
      <c r="G85" s="9" t="s">
        <v>48</v>
      </c>
      <c r="H85" s="9">
        <v>4.0</v>
      </c>
      <c r="I85" s="9">
        <v>4.0</v>
      </c>
      <c r="J85" s="9">
        <v>4.0</v>
      </c>
      <c r="K85" s="9">
        <v>4.0</v>
      </c>
      <c r="L85" s="9">
        <v>4.0</v>
      </c>
      <c r="M85" s="9">
        <v>4.0</v>
      </c>
      <c r="N85" s="9">
        <v>4.0</v>
      </c>
      <c r="O85" s="9">
        <v>8.0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IFERROR(__xludf.DUMMYFUNCTION("FILTER({'Form Responses 1'!A2:A172, 'Form Responses 1'!Q2:Q172, 'Form Responses 1'!R2:R172}, ('Form Responses 1'!Q2:Q172 &lt;&gt; """") + ('Form Responses 1'!R2:R172 &lt;&gt; """"))"),45985.46714079861)</f>
        <v>45985.46714</v>
      </c>
      <c r="B1" s="3" t="str">
        <f>IFERROR(__xludf.DUMMYFUNCTION("""COMPUTED_VALUE"""),"None ")</f>
        <v>None </v>
      </c>
      <c r="C1" s="3"/>
    </row>
    <row r="2">
      <c r="A2" s="2">
        <f>IFERROR(__xludf.DUMMYFUNCTION("""COMPUTED_VALUE"""),45989.692814305556)</f>
        <v>45989.69281</v>
      </c>
      <c r="B2" s="3" t="str">
        <f>IFERROR(__xludf.DUMMYFUNCTION("""COMPUTED_VALUE"""),"N/A")</f>
        <v>N/A</v>
      </c>
      <c r="C2" s="3"/>
    </row>
    <row r="3">
      <c r="A3" s="2">
        <f>IFERROR(__xludf.DUMMYFUNCTION("""COMPUTED_VALUE"""),45995.64139503472)</f>
        <v>45995.6414</v>
      </c>
      <c r="B3" s="3" t="str">
        <f>IFERROR(__xludf.DUMMYFUNCTION("""COMPUTED_VALUE"""),"None")</f>
        <v>None</v>
      </c>
      <c r="C3" s="3"/>
    </row>
    <row r="4">
      <c r="A4" s="2">
        <f>IFERROR(__xludf.DUMMYFUNCTION("""COMPUTED_VALUE"""),45995.684955000004)</f>
        <v>45995.68496</v>
      </c>
      <c r="B4" s="3" t="str">
        <f>IFERROR(__xludf.DUMMYFUNCTION("""COMPUTED_VALUE"""),"Perhaps a better placement of the physical office itself or a better directory of where the physical office can be seen. ")</f>
        <v>Perhaps a better placement of the physical office itself or a better directory of where the physical office can be seen. </v>
      </c>
      <c r="C4" s="3"/>
    </row>
    <row r="5">
      <c r="A5" s="2">
        <f>IFERROR(__xludf.DUMMYFUNCTION("""COMPUTED_VALUE"""),45995.68770956018)</f>
        <v>45995.68771</v>
      </c>
      <c r="B5" s="3" t="str">
        <f>IFERROR(__xludf.DUMMYFUNCTION("""COMPUTED_VALUE"""),"None
Serious ")</f>
        <v>None
Serious </v>
      </c>
      <c r="C5" s="3"/>
    </row>
    <row r="6">
      <c r="A6" s="2">
        <f>IFERROR(__xludf.DUMMYFUNCTION("""COMPUTED_VALUE"""),45995.748035752316)</f>
        <v>45995.74804</v>
      </c>
      <c r="B6" s="3" t="str">
        <f>IFERROR(__xludf.DUMMYFUNCTION("""COMPUTED_VALUE"""),"none")</f>
        <v>none</v>
      </c>
      <c r="C6" s="3"/>
    </row>
    <row r="7">
      <c r="A7" s="2">
        <f>IFERROR(__xludf.DUMMYFUNCTION("""COMPUTED_VALUE"""),46039.397052824075)</f>
        <v>46039.39705</v>
      </c>
      <c r="B7" s="3" t="str">
        <f>IFERROR(__xludf.DUMMYFUNCTION("""COMPUTED_VALUE"""),"Nothing")</f>
        <v>Nothing</v>
      </c>
      <c r="C7" s="3"/>
    </row>
    <row r="8">
      <c r="A8" s="2">
        <f>IFERROR(__xludf.DUMMYFUNCTION("""COMPUTED_VALUE"""),46039.397396458335)</f>
        <v>46039.3974</v>
      </c>
      <c r="B8" s="3" t="str">
        <f>IFERROR(__xludf.DUMMYFUNCTION("""COMPUTED_VALUE"""),"N/a")</f>
        <v>N/a</v>
      </c>
      <c r="C8" s="3"/>
    </row>
    <row r="9">
      <c r="A9" s="2">
        <f>IFERROR(__xludf.DUMMYFUNCTION("""COMPUTED_VALUE"""),46039.39914543982)</f>
        <v>46039.39915</v>
      </c>
      <c r="B9" s="3" t="str">
        <f>IFERROR(__xludf.DUMMYFUNCTION("""COMPUTED_VALUE"""),"Nothing ")</f>
        <v>Nothing </v>
      </c>
      <c r="C9" s="3"/>
    </row>
    <row r="10">
      <c r="A10" s="2">
        <f>IFERROR(__xludf.DUMMYFUNCTION("""COMPUTED_VALUE"""),46039.400676770834)</f>
        <v>46039.40068</v>
      </c>
      <c r="B10" s="3" t="str">
        <f>IFERROR(__xludf.DUMMYFUNCTION("""COMPUTED_VALUE"""),"Immediate response ")</f>
        <v>Immediate response </v>
      </c>
      <c r="C10" s="3"/>
    </row>
    <row r="11">
      <c r="A11" s="2">
        <f>IFERROR(__xludf.DUMMYFUNCTION("""COMPUTED_VALUE"""),46039.41799008102)</f>
        <v>46039.41799</v>
      </c>
      <c r="B11" s="3" t="str">
        <f>IFERROR(__xludf.DUMMYFUNCTION("""COMPUTED_VALUE"""),"None")</f>
        <v>None</v>
      </c>
      <c r="C11" s="3"/>
    </row>
    <row r="12">
      <c r="A12" s="2">
        <f>IFERROR(__xludf.DUMMYFUNCTION("""COMPUTED_VALUE"""),46039.41917231481)</f>
        <v>46039.41917</v>
      </c>
      <c r="B12" s="3" t="str">
        <f>IFERROR(__xludf.DUMMYFUNCTION("""COMPUTED_VALUE"""),"No suggestions either")</f>
        <v>No suggestions either</v>
      </c>
      <c r="C12" s="3"/>
    </row>
    <row r="13">
      <c r="A13" s="2">
        <f>IFERROR(__xludf.DUMMYFUNCTION("""COMPUTED_VALUE"""),46039.42110721065)</f>
        <v>46039.42111</v>
      </c>
      <c r="B13" s="3" t="str">
        <f>IFERROR(__xludf.DUMMYFUNCTION("""COMPUTED_VALUE"""),"n/a")</f>
        <v>n/a</v>
      </c>
      <c r="C13" s="3"/>
    </row>
    <row r="14">
      <c r="A14" s="2">
        <f>IFERROR(__xludf.DUMMYFUNCTION("""COMPUTED_VALUE"""),46039.43400224537)</f>
        <v>46039.434</v>
      </c>
      <c r="B14" s="3" t="str">
        <f>IFERROR(__xludf.DUMMYFUNCTION("""COMPUTED_VALUE"""),"The office can improve by responding a little faster and giving clearer instructions so people know what to do and where to go.")</f>
        <v>The office can improve by responding a little faster and giving clearer instructions so people know what to do and where to go.</v>
      </c>
      <c r="C14" s="3"/>
    </row>
    <row r="15">
      <c r="A15" s="2">
        <f>IFERROR(__xludf.DUMMYFUNCTION("""COMPUTED_VALUE"""),46052.47382706018)</f>
        <v>46052.47383</v>
      </c>
      <c r="B15" s="3" t="str">
        <f>IFERROR(__xludf.DUMMYFUNCTION("""COMPUTED_VALUE"""),"Cctv footage ")</f>
        <v>Cctv footage </v>
      </c>
      <c r="C15" s="3"/>
    </row>
    <row r="16">
      <c r="A16" s="2">
        <f>IFERROR(__xludf.DUMMYFUNCTION("""COMPUTED_VALUE"""),46052.47510091435)</f>
        <v>46052.4751</v>
      </c>
      <c r="B16" s="3" t="str">
        <f>IFERROR(__xludf.DUMMYFUNCTION("""COMPUTED_VALUE"""),"N/A")</f>
        <v>N/A</v>
      </c>
      <c r="C16" s="3"/>
    </row>
    <row r="17">
      <c r="A17" s="2">
        <f>IFERROR(__xludf.DUMMYFUNCTION("""COMPUTED_VALUE"""),46052.6217555787)</f>
        <v>46052.62176</v>
      </c>
      <c r="B17" s="3" t="str">
        <f>IFERROR(__xludf.DUMMYFUNCTION("""COMPUTED_VALUE"""),"-")</f>
        <v>-</v>
      </c>
      <c r="C17" s="3"/>
    </row>
    <row r="18">
      <c r="A18" s="2">
        <f>IFERROR(__xludf.DUMMYFUNCTION("""COMPUTED_VALUE"""),46072.35973677083)</f>
        <v>46072.35974</v>
      </c>
      <c r="B18" s="3" t="str">
        <f>IFERROR(__xludf.DUMMYFUNCTION("""COMPUTED_VALUE"""),"Suggest to in place more cctv to help human personnel monitor in a strategic areas of the campus of the event.")</f>
        <v>Suggest to in place more cctv to help human personnel monitor in a strategic areas of the campus of the event.</v>
      </c>
      <c r="C18" s="3"/>
    </row>
    <row r="19">
      <c r="A19" s="2">
        <f>IFERROR(__xludf.DUMMYFUNCTION("""COMPUTED_VALUE"""),46074.43575193287)</f>
        <v>46074.43575</v>
      </c>
      <c r="B19" s="3" t="str">
        <f>IFERROR(__xludf.DUMMYFUNCTION("""COMPUTED_VALUE"""),"None")</f>
        <v>None</v>
      </c>
      <c r="C19" s="3"/>
    </row>
    <row r="20">
      <c r="A20" s="2">
        <f>IFERROR(__xludf.DUMMYFUNCTION("""COMPUTED_VALUE"""),46074.43600560185)</f>
        <v>46074.43601</v>
      </c>
      <c r="B20" s="3" t="str">
        <f>IFERROR(__xludf.DUMMYFUNCTION("""COMPUTED_VALUE"""),"none")</f>
        <v>none</v>
      </c>
      <c r="C20" s="3"/>
    </row>
    <row r="21">
      <c r="A21" s="2">
        <f>IFERROR(__xludf.DUMMYFUNCTION("""COMPUTED_VALUE"""),46074.43600939815)</f>
        <v>46074.43601</v>
      </c>
      <c r="B21" s="3" t="str">
        <f>IFERROR(__xludf.DUMMYFUNCTION("""COMPUTED_VALUE"""),"None")</f>
        <v>None</v>
      </c>
      <c r="C21" s="3"/>
    </row>
    <row r="22">
      <c r="A22" s="2">
        <f>IFERROR(__xludf.DUMMYFUNCTION("""COMPUTED_VALUE"""),46074.43681449074)</f>
        <v>46074.43681</v>
      </c>
      <c r="B22" s="3" t="str">
        <f>IFERROR(__xludf.DUMMYFUNCTION("""COMPUTED_VALUE"""),"None")</f>
        <v>None</v>
      </c>
      <c r="C22" s="3"/>
    </row>
    <row r="23">
      <c r="A23" s="2">
        <f>IFERROR(__xludf.DUMMYFUNCTION("""COMPUTED_VALUE"""),46074.4369769676)</f>
        <v>46074.43698</v>
      </c>
      <c r="B23" s="3" t="str">
        <f>IFERROR(__xludf.DUMMYFUNCTION("""COMPUTED_VALUE"""),"CONTINUE TO BE NICE TO EVERYONE AND GOOD WORK.")</f>
        <v>CONTINUE TO BE NICE TO EVERYONE AND GOOD WORK.</v>
      </c>
      <c r="C23" s="3"/>
    </row>
    <row r="24">
      <c r="A24" s="2">
        <f>IFERROR(__xludf.DUMMYFUNCTION("""COMPUTED_VALUE"""),46074.43747736111)</f>
        <v>46074.43748</v>
      </c>
      <c r="B24" s="3" t="str">
        <f>IFERROR(__xludf.DUMMYFUNCTION("""COMPUTED_VALUE"""),"None")</f>
        <v>None</v>
      </c>
      <c r="C24" s="3"/>
    </row>
    <row r="25">
      <c r="A25" s="2">
        <f>IFERROR(__xludf.DUMMYFUNCTION("""COMPUTED_VALUE"""),46074.480045578704)</f>
        <v>46074.48005</v>
      </c>
      <c r="B25" s="3" t="str">
        <f>IFERROR(__xludf.DUMMYFUNCTION("""COMPUTED_VALUE"""),"N/A")</f>
        <v>N/A</v>
      </c>
      <c r="C25" s="3"/>
    </row>
    <row r="26">
      <c r="A26" s="2">
        <f>IFERROR(__xludf.DUMMYFUNCTION("""COMPUTED_VALUE"""),46262.65782010417)</f>
        <v>46262.65782</v>
      </c>
      <c r="B26" s="3" t="str">
        <f>IFERROR(__xludf.DUMMYFUNCTION("""COMPUTED_VALUE"""),".")</f>
        <v>.</v>
      </c>
      <c r="C26" s="3"/>
    </row>
    <row r="27">
      <c r="A27" s="2">
        <f>IFERROR(__xludf.DUMMYFUNCTION("""COMPUTED_VALUE"""),46262.65799119213)</f>
        <v>46262.65799</v>
      </c>
      <c r="B27" s="3" t="str">
        <f>IFERROR(__xludf.DUMMYFUNCTION("""COMPUTED_VALUE"""),"None")</f>
        <v>None</v>
      </c>
      <c r="C27" s="3"/>
    </row>
    <row r="28">
      <c r="A28" s="2">
        <f>IFERROR(__xludf.DUMMYFUNCTION("""COMPUTED_VALUE"""),46267.428899861115)</f>
        <v>46267.4289</v>
      </c>
      <c r="B28" s="3" t="str">
        <f>IFERROR(__xludf.DUMMYFUNCTION("""COMPUTED_VALUE"""),"Get a additional security guards of each gate to secure the safety of the students, faculty and staff")</f>
        <v>Get a additional security guards of each gate to secure the safety of the students, faculty and staff</v>
      </c>
      <c r="C28" s="3"/>
    </row>
  </sheetData>
  <drawing r:id="rId1"/>
</worksheet>
</file>