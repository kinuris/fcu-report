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calcPr/>
</workbook>
</file>

<file path=xl/sharedStrings.xml><?xml version="1.0" encoding="utf-8"?>
<sst xmlns="http://schemas.openxmlformats.org/spreadsheetml/2006/main" count="529" uniqueCount="59">
  <si>
    <t>Timestamp</t>
  </si>
  <si>
    <t xml:space="preserve">By clicking I AGREE, I am giving consent to FCU to collect and process the information I will give. I acknowledge that this information will solely be used for client satisfaction survey purposes and will not be shared to any third party organization or other affiliation. </t>
  </si>
  <si>
    <t>Date of Transaction</t>
  </si>
  <si>
    <t>Client Type</t>
  </si>
  <si>
    <t>Unit/Affiliation</t>
  </si>
  <si>
    <t>Sex</t>
  </si>
  <si>
    <t xml:space="preserve">Services Availed: VP-Academic Affairs </t>
  </si>
  <si>
    <r>
      <rPr>
        <rFont val="Arial"/>
        <b/>
        <i/>
        <color theme="1"/>
      </rPr>
      <t>RESPONSIVENESS</t>
    </r>
    <r>
      <rPr>
        <rFont val="Arial"/>
        <color theme="1"/>
      </rPr>
      <t xml:space="preserve">
I spent a reasonable amount of time completing my transaction.</t>
    </r>
  </si>
  <si>
    <r>
      <rPr>
        <rFont val="Arial"/>
        <b/>
        <color theme="1"/>
      </rPr>
      <t>RELIABILITY</t>
    </r>
    <r>
      <rPr>
        <rFont val="Arial"/>
        <color theme="1"/>
      </rPr>
      <t xml:space="preserve">
My transaction with the office is consistent with the specified requirements and steps.</t>
    </r>
  </si>
  <si>
    <r>
      <rPr>
        <rFont val="Arial"/>
        <b/>
        <color theme="1"/>
      </rPr>
      <t>ACCESS AND FACILITIES</t>
    </r>
    <r>
      <rPr>
        <rFont val="Arial"/>
        <color theme="1"/>
      </rPr>
      <t xml:space="preserve">
My transaction, including steps and payments was simple and convenient. The service was provided in a conducive environment.</t>
    </r>
  </si>
  <si>
    <r>
      <rPr>
        <rFont val="Arial"/>
        <b/>
        <color theme="1"/>
      </rPr>
      <t>COMMUNICATION</t>
    </r>
    <r>
      <rPr>
        <rFont val="Arial"/>
        <color theme="1"/>
      </rPr>
      <t xml:space="preserve">
The office promptly and clearly communicated the details of my request.</t>
    </r>
  </si>
  <si>
    <r>
      <rPr>
        <rFont val="Arial"/>
        <b/>
        <color theme="1"/>
      </rPr>
      <t>COSTS</t>
    </r>
    <r>
      <rPr>
        <rFont val="Arial"/>
        <color theme="1"/>
      </rPr>
      <t xml:space="preserve">
The fees I paid for my transaction were fair and reasonable.</t>
    </r>
  </si>
  <si>
    <r>
      <rPr>
        <rFont val="Arial"/>
        <b/>
        <color theme="1"/>
      </rPr>
      <t>INTEGRITY</t>
    </r>
    <r>
      <rPr>
        <rFont val="Arial"/>
        <color theme="1"/>
      </rPr>
      <t xml:space="preserve">
The office treated me fairly and honestly during my transaction.</t>
    </r>
  </si>
  <si>
    <r>
      <rPr>
        <rFont val="Arial"/>
        <b/>
        <color theme="1"/>
      </rPr>
      <t>ASSURANCE</t>
    </r>
    <r>
      <rPr>
        <rFont val="Arial"/>
        <color theme="1"/>
      </rPr>
      <t xml:space="preserve">
I was treated professionally by a knowledgeable and polite staff.</t>
    </r>
  </si>
  <si>
    <r>
      <rPr>
        <rFont val="Arial"/>
        <b/>
        <color theme="1"/>
      </rPr>
      <t>OUTCOME</t>
    </r>
    <r>
      <rPr>
        <rFont val="Arial"/>
        <color theme="1"/>
      </rPr>
      <t xml:space="preserve">
I’m satisfied with my overall transaction with the office.</t>
    </r>
  </si>
  <si>
    <t xml:space="preserve">How likely are you to recommend our services to others? </t>
  </si>
  <si>
    <t xml:space="preserve">What can you comment about the the services provided by the office? </t>
  </si>
  <si>
    <t xml:space="preserve">What are your suggestions to improve customer experience with this office? </t>
  </si>
  <si>
    <t>I AGREE</t>
  </si>
  <si>
    <t>Student</t>
  </si>
  <si>
    <t>Female</t>
  </si>
  <si>
    <t>Document Processing</t>
  </si>
  <si>
    <t>other</t>
  </si>
  <si>
    <t>Male</t>
  </si>
  <si>
    <t>grade inquiry</t>
  </si>
  <si>
    <t>for approval</t>
  </si>
  <si>
    <t>Guest</t>
  </si>
  <si>
    <t>deped</t>
  </si>
  <si>
    <t>follow up grades</t>
  </si>
  <si>
    <t>CN</t>
  </si>
  <si>
    <t>Document Processing, letter</t>
  </si>
  <si>
    <t>the service of the staff is very good and approachable in clients</t>
  </si>
  <si>
    <t>Prefer not to say</t>
  </si>
  <si>
    <t>Sala ang qr sa vp for finance</t>
  </si>
  <si>
    <t>Suplada ang secretary, mabuot ang mga working, madugay mag process sa vp finance</t>
  </si>
  <si>
    <t>Kayohi batasan sang staff ka fcu sa vp finance kag intsaktohon ang qr. Sorry kung nagsala na ang data sa acad pero in the first place dapat gina check na ngadaan ang qrs if tama ang link</t>
  </si>
  <si>
    <t>Faculty/Staff</t>
  </si>
  <si>
    <t>DepEd</t>
  </si>
  <si>
    <t>Staff are very accomodating and kind</t>
  </si>
  <si>
    <t>Satisfied</t>
  </si>
  <si>
    <t>Good Services</t>
  </si>
  <si>
    <t>Very Good</t>
  </si>
  <si>
    <t>Shane Grace Marterio</t>
  </si>
  <si>
    <t>Keep-up the good service</t>
  </si>
  <si>
    <t>Jennefer C. Feril</t>
  </si>
  <si>
    <t>Forward Letter</t>
  </si>
  <si>
    <t>Rafael</t>
  </si>
  <si>
    <t>Requesting Grades</t>
  </si>
  <si>
    <t>Jane P.</t>
  </si>
  <si>
    <t>Renz C.</t>
  </si>
  <si>
    <t>FCU CN</t>
  </si>
  <si>
    <t>Letter Signing</t>
  </si>
  <si>
    <t>Good Job</t>
  </si>
  <si>
    <t>Parent/Guardian</t>
  </si>
  <si>
    <t>The Staff is friendly and very accomodating</t>
  </si>
  <si>
    <t>Jovel Buenafe</t>
  </si>
  <si>
    <t>DEPED</t>
  </si>
  <si>
    <t>appeal</t>
  </si>
  <si>
    <t>CCS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</si>
</sst>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164" xfId="0" applyFont="1" applyNumberFormat="1"/>
    <xf borderId="0" fillId="0" fontId="1" numFmtId="0" xfId="0" applyFont="1"/>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123" displayName="Form_Responses" name="Form_Responses" id="1">
  <tableColumns count="18">
    <tableColumn name="Timestamp" id="1"/>
    <tableColumn name="By clicking I AGREE, I am giving consent to FCU to collect and process the information I will give. I acknowledge that this information will solely be used for client satisfaction survey purposes and will not be shared to any third party organization or other affiliation. " id="2"/>
    <tableColumn name="Date of Transaction" id="3"/>
    <tableColumn name="Client Type" id="4"/>
    <tableColumn name="Unit/Affiliation" id="5"/>
    <tableColumn name="Sex" id="6"/>
    <tableColumn name="Services Availed: VP-Academic Affairs " id="7"/>
    <tableColumn name="RESPONSIVENESS_x000a_I spent a reasonable amount of time completing my transaction." id="8"/>
    <tableColumn name="RELIABILITY_x000a_My transaction with the office is consistent with the specified requirements and steps." id="9"/>
    <tableColumn name="ACCESS AND FACILITIES_x000a_My transaction, including steps and payments was simple and convenient. The service was provided in a conducive environment." id="10"/>
    <tableColumn name="COMMUNICATION_x000a_The office promptly and clearly communicated the details of my request." id="11"/>
    <tableColumn name="COSTS_x000a_The fees I paid for my transaction were fair and reasonable." id="12"/>
    <tableColumn name="INTEGRITY_x000a_The office treated me fairly and honestly during my transaction." id="13"/>
    <tableColumn name="ASSURANCE_x000a_I was treated professionally by a knowledgeable and polite staff." id="14"/>
    <tableColumn name="OUTCOME_x000a_I’m satisfied with my overall transaction with the office." id="15"/>
    <tableColumn name="How likely are you to recommend our services to others? " id="16"/>
    <tableColumn name="What can you comment about the the services provided by the office? " id="17"/>
    <tableColumn name="What are your suggestions to improve customer experience with this office? "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9.63"/>
    <col customWidth="1" min="4" max="6" width="18.88"/>
    <col customWidth="1" min="7" max="7" width="33.38"/>
    <col customWidth="1" min="8" max="18" width="37.63"/>
    <col customWidth="1" min="19" max="24" width="18.88"/>
  </cols>
  <sheetData>
    <row r="1" ht="2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ht="22.5" customHeight="1">
      <c r="A2" s="4">
        <v>45973.420487361116</v>
      </c>
      <c r="B2" s="5" t="s">
        <v>18</v>
      </c>
      <c r="C2" s="6">
        <v>45947.0</v>
      </c>
      <c r="D2" s="5" t="s">
        <v>19</v>
      </c>
      <c r="E2" s="7"/>
      <c r="F2" s="5" t="s">
        <v>20</v>
      </c>
      <c r="G2" s="5" t="s">
        <v>21</v>
      </c>
      <c r="H2" s="5">
        <v>4.0</v>
      </c>
      <c r="I2" s="5">
        <v>5.0</v>
      </c>
      <c r="J2" s="5">
        <v>5.0</v>
      </c>
      <c r="K2" s="5">
        <v>5.0</v>
      </c>
      <c r="L2" s="5">
        <v>5.0</v>
      </c>
      <c r="M2" s="5">
        <v>5.0</v>
      </c>
      <c r="N2" s="5">
        <v>5.0</v>
      </c>
      <c r="O2" s="5">
        <v>4.0</v>
      </c>
      <c r="P2" s="5">
        <v>10.0</v>
      </c>
      <c r="Q2" s="7"/>
      <c r="R2" s="7"/>
    </row>
    <row r="3" ht="22.5" customHeight="1">
      <c r="A3" s="4">
        <v>45973.42230278935</v>
      </c>
      <c r="B3" s="5" t="s">
        <v>18</v>
      </c>
      <c r="C3" s="6">
        <v>45953.0</v>
      </c>
      <c r="D3" s="5" t="s">
        <v>22</v>
      </c>
      <c r="E3" s="7"/>
      <c r="F3" s="5" t="s">
        <v>20</v>
      </c>
      <c r="G3" s="5" t="s">
        <v>21</v>
      </c>
      <c r="H3" s="5">
        <v>5.0</v>
      </c>
      <c r="I3" s="7"/>
      <c r="J3" s="5">
        <v>5.0</v>
      </c>
      <c r="K3" s="5">
        <v>5.0</v>
      </c>
      <c r="L3" s="5">
        <v>5.0</v>
      </c>
      <c r="M3" s="5">
        <v>5.0</v>
      </c>
      <c r="N3" s="5">
        <v>5.0</v>
      </c>
      <c r="O3" s="5">
        <v>5.0</v>
      </c>
      <c r="P3" s="5">
        <v>8.0</v>
      </c>
      <c r="Q3" s="7"/>
      <c r="R3" s="7"/>
    </row>
    <row r="4" ht="22.5" customHeight="1">
      <c r="A4" s="4">
        <v>45973.423251342596</v>
      </c>
      <c r="B4" s="5" t="s">
        <v>18</v>
      </c>
      <c r="C4" s="6">
        <v>45953.0</v>
      </c>
      <c r="D4" s="5" t="s">
        <v>19</v>
      </c>
      <c r="E4" s="7"/>
      <c r="F4" s="5" t="s">
        <v>23</v>
      </c>
      <c r="G4" s="5" t="s">
        <v>22</v>
      </c>
      <c r="H4" s="5">
        <v>4.0</v>
      </c>
      <c r="I4" s="5">
        <v>4.0</v>
      </c>
      <c r="J4" s="5">
        <v>3.0</v>
      </c>
      <c r="K4" s="5">
        <v>4.0</v>
      </c>
      <c r="L4" s="5">
        <v>3.0</v>
      </c>
      <c r="M4" s="5">
        <v>4.0</v>
      </c>
      <c r="N4" s="5">
        <v>5.0</v>
      </c>
      <c r="O4" s="5">
        <v>4.0</v>
      </c>
      <c r="P4" s="5">
        <v>10.0</v>
      </c>
      <c r="Q4" s="7"/>
      <c r="R4" s="7"/>
    </row>
    <row r="5" ht="22.5" customHeight="1">
      <c r="A5" s="4">
        <v>45973.42396760416</v>
      </c>
      <c r="B5" s="5" t="s">
        <v>18</v>
      </c>
      <c r="C5" s="6">
        <v>45923.0</v>
      </c>
      <c r="D5" s="5" t="s">
        <v>19</v>
      </c>
      <c r="E5" s="7"/>
      <c r="F5" s="5" t="s">
        <v>20</v>
      </c>
      <c r="G5" s="5" t="s">
        <v>21</v>
      </c>
      <c r="H5" s="5">
        <v>5.0</v>
      </c>
      <c r="I5" s="5">
        <v>5.0</v>
      </c>
      <c r="J5" s="5">
        <v>5.0</v>
      </c>
      <c r="K5" s="5">
        <v>5.0</v>
      </c>
      <c r="L5" s="5">
        <v>5.0</v>
      </c>
      <c r="M5" s="5">
        <v>5.0</v>
      </c>
      <c r="N5" s="7"/>
      <c r="O5" s="5">
        <v>5.0</v>
      </c>
      <c r="P5" s="5">
        <v>10.0</v>
      </c>
      <c r="Q5" s="7"/>
      <c r="R5" s="7"/>
    </row>
    <row r="6" ht="22.5" customHeight="1">
      <c r="A6" s="4">
        <v>45973.42503996528</v>
      </c>
      <c r="B6" s="5" t="s">
        <v>18</v>
      </c>
      <c r="C6" s="6">
        <v>45954.0</v>
      </c>
      <c r="D6" s="5" t="s">
        <v>19</v>
      </c>
      <c r="E6" s="7"/>
      <c r="F6" s="5" t="s">
        <v>20</v>
      </c>
      <c r="G6" s="5" t="s">
        <v>24</v>
      </c>
      <c r="H6" s="5">
        <v>5.0</v>
      </c>
      <c r="I6" s="5">
        <v>5.0</v>
      </c>
      <c r="J6" s="5">
        <v>5.0</v>
      </c>
      <c r="K6" s="5">
        <v>5.0</v>
      </c>
      <c r="L6" s="7"/>
      <c r="M6" s="5">
        <v>5.0</v>
      </c>
      <c r="N6" s="5">
        <v>5.0</v>
      </c>
      <c r="O6" s="5">
        <v>5.0</v>
      </c>
      <c r="P6" s="5">
        <v>10.0</v>
      </c>
      <c r="Q6" s="7"/>
      <c r="R6" s="7"/>
    </row>
    <row r="7" ht="22.5" customHeight="1">
      <c r="A7" s="4">
        <v>45973.42568501158</v>
      </c>
      <c r="B7" s="5" t="s">
        <v>18</v>
      </c>
      <c r="C7" s="6">
        <v>45945.0</v>
      </c>
      <c r="D7" s="5" t="s">
        <v>19</v>
      </c>
      <c r="E7" s="7"/>
      <c r="F7" s="5" t="s">
        <v>23</v>
      </c>
      <c r="G7" s="5" t="s">
        <v>21</v>
      </c>
      <c r="H7" s="5">
        <v>5.0</v>
      </c>
      <c r="I7" s="5">
        <v>5.0</v>
      </c>
      <c r="J7" s="5">
        <v>5.0</v>
      </c>
      <c r="K7" s="5">
        <v>5.0</v>
      </c>
      <c r="L7" s="5">
        <v>4.0</v>
      </c>
      <c r="M7" s="5">
        <v>5.0</v>
      </c>
      <c r="N7" s="5">
        <v>5.0</v>
      </c>
      <c r="O7" s="5">
        <v>5.0</v>
      </c>
      <c r="P7" s="5">
        <v>10.0</v>
      </c>
      <c r="Q7" s="7"/>
      <c r="R7" s="7"/>
    </row>
    <row r="8" ht="22.5" customHeight="1">
      <c r="A8" s="4">
        <v>45973.42656212963</v>
      </c>
      <c r="B8" s="5" t="s">
        <v>18</v>
      </c>
      <c r="C8" s="6">
        <v>45972.0</v>
      </c>
      <c r="D8" s="5" t="s">
        <v>19</v>
      </c>
      <c r="E8" s="7"/>
      <c r="F8" s="5" t="s">
        <v>20</v>
      </c>
      <c r="G8" s="5" t="s">
        <v>22</v>
      </c>
      <c r="H8" s="5">
        <v>4.0</v>
      </c>
      <c r="I8" s="5">
        <v>4.0</v>
      </c>
      <c r="J8" s="5">
        <v>4.0</v>
      </c>
      <c r="K8" s="5">
        <v>4.0</v>
      </c>
      <c r="L8" s="5">
        <v>4.0</v>
      </c>
      <c r="M8" s="5">
        <v>4.0</v>
      </c>
      <c r="N8" s="5">
        <v>4.0</v>
      </c>
      <c r="O8" s="5">
        <v>4.0</v>
      </c>
      <c r="P8" s="5">
        <v>8.0</v>
      </c>
      <c r="Q8" s="7"/>
      <c r="R8" s="7"/>
    </row>
    <row r="9" ht="22.5" customHeight="1">
      <c r="A9" s="4">
        <v>45973.427466030094</v>
      </c>
      <c r="B9" s="5" t="s">
        <v>18</v>
      </c>
      <c r="C9" s="6">
        <v>45954.0</v>
      </c>
      <c r="D9" s="5" t="s">
        <v>19</v>
      </c>
      <c r="E9" s="7"/>
      <c r="F9" s="5" t="s">
        <v>20</v>
      </c>
      <c r="G9" s="5" t="s">
        <v>25</v>
      </c>
      <c r="H9" s="7"/>
      <c r="I9" s="5">
        <v>4.0</v>
      </c>
      <c r="J9" s="5">
        <v>4.0</v>
      </c>
      <c r="K9" s="5">
        <v>5.0</v>
      </c>
      <c r="L9" s="7"/>
      <c r="M9" s="5">
        <v>5.0</v>
      </c>
      <c r="N9" s="5">
        <v>5.0</v>
      </c>
      <c r="O9" s="5">
        <v>5.0</v>
      </c>
      <c r="P9" s="5">
        <v>7.0</v>
      </c>
      <c r="Q9" s="7"/>
      <c r="R9" s="7"/>
    </row>
    <row r="10" ht="22.5" customHeight="1">
      <c r="A10" s="4">
        <v>45973.42991278935</v>
      </c>
      <c r="B10" s="5" t="s">
        <v>18</v>
      </c>
      <c r="C10" s="6">
        <v>45954.0</v>
      </c>
      <c r="D10" s="5" t="s">
        <v>26</v>
      </c>
      <c r="E10" s="5" t="s">
        <v>27</v>
      </c>
      <c r="F10" s="5" t="s">
        <v>20</v>
      </c>
      <c r="G10" s="5" t="s">
        <v>28</v>
      </c>
      <c r="H10" s="5">
        <v>4.0</v>
      </c>
      <c r="I10" s="5">
        <v>4.0</v>
      </c>
      <c r="J10" s="5">
        <v>5.0</v>
      </c>
      <c r="K10" s="5">
        <v>5.0</v>
      </c>
      <c r="L10" s="5">
        <v>5.0</v>
      </c>
      <c r="M10" s="5">
        <v>5.0</v>
      </c>
      <c r="N10" s="5">
        <v>5.0</v>
      </c>
      <c r="O10" s="5">
        <v>5.0</v>
      </c>
      <c r="P10" s="5">
        <v>9.0</v>
      </c>
      <c r="Q10" s="7"/>
      <c r="R10" s="7"/>
    </row>
    <row r="11" ht="22.5" customHeight="1">
      <c r="A11" s="4">
        <v>45973.43077045139</v>
      </c>
      <c r="B11" s="5" t="s">
        <v>18</v>
      </c>
      <c r="C11" s="6">
        <v>45954.0</v>
      </c>
      <c r="D11" s="5" t="s">
        <v>19</v>
      </c>
      <c r="E11" s="5" t="s">
        <v>29</v>
      </c>
      <c r="F11" s="5" t="s">
        <v>23</v>
      </c>
      <c r="G11" s="5" t="s">
        <v>21</v>
      </c>
      <c r="H11" s="5">
        <v>5.0</v>
      </c>
      <c r="I11" s="5">
        <v>5.0</v>
      </c>
      <c r="J11" s="5">
        <v>5.0</v>
      </c>
      <c r="K11" s="5">
        <v>5.0</v>
      </c>
      <c r="L11" s="7"/>
      <c r="M11" s="5">
        <v>5.0</v>
      </c>
      <c r="N11" s="5">
        <v>5.0</v>
      </c>
      <c r="O11" s="5">
        <v>5.0</v>
      </c>
      <c r="P11" s="5">
        <v>10.0</v>
      </c>
      <c r="Q11" s="7"/>
      <c r="R11" s="7"/>
    </row>
    <row r="12" ht="22.5" customHeight="1">
      <c r="A12" s="4">
        <v>45973.4325103125</v>
      </c>
      <c r="B12" s="5" t="s">
        <v>18</v>
      </c>
      <c r="C12" s="6">
        <v>45954.0</v>
      </c>
      <c r="D12" s="5" t="s">
        <v>19</v>
      </c>
      <c r="E12" s="7"/>
      <c r="F12" s="5" t="s">
        <v>23</v>
      </c>
      <c r="G12" s="5" t="s">
        <v>21</v>
      </c>
      <c r="H12" s="5">
        <v>4.0</v>
      </c>
      <c r="I12" s="5">
        <v>5.0</v>
      </c>
      <c r="J12" s="5">
        <v>3.0</v>
      </c>
      <c r="K12" s="5">
        <v>4.0</v>
      </c>
      <c r="L12" s="5">
        <v>4.0</v>
      </c>
      <c r="M12" s="5">
        <v>4.0</v>
      </c>
      <c r="N12" s="5">
        <v>4.0</v>
      </c>
      <c r="O12" s="5">
        <v>4.0</v>
      </c>
      <c r="P12" s="5">
        <v>8.0</v>
      </c>
      <c r="Q12" s="7"/>
      <c r="R12" s="7"/>
    </row>
    <row r="13" ht="22.5" customHeight="1">
      <c r="A13" s="4">
        <v>45973.43334505787</v>
      </c>
      <c r="B13" s="5" t="s">
        <v>18</v>
      </c>
      <c r="C13" s="6">
        <v>45954.0</v>
      </c>
      <c r="D13" s="5" t="s">
        <v>19</v>
      </c>
      <c r="E13" s="7"/>
      <c r="F13" s="5" t="s">
        <v>23</v>
      </c>
      <c r="G13" s="5" t="s">
        <v>30</v>
      </c>
      <c r="H13" s="5">
        <v>5.0</v>
      </c>
      <c r="I13" s="5">
        <v>5.0</v>
      </c>
      <c r="J13" s="5">
        <v>5.0</v>
      </c>
      <c r="K13" s="5">
        <v>5.0</v>
      </c>
      <c r="L13" s="5">
        <v>5.0</v>
      </c>
      <c r="M13" s="5">
        <v>5.0</v>
      </c>
      <c r="N13" s="5">
        <v>5.0</v>
      </c>
      <c r="O13" s="5">
        <v>5.0</v>
      </c>
      <c r="P13" s="5">
        <v>8.0</v>
      </c>
      <c r="Q13" s="7"/>
      <c r="R13" s="7"/>
    </row>
    <row r="14" ht="22.5" customHeight="1">
      <c r="A14" s="4">
        <v>45973.43441459491</v>
      </c>
      <c r="B14" s="5" t="s">
        <v>18</v>
      </c>
      <c r="C14" s="6">
        <v>45943.0</v>
      </c>
      <c r="D14" s="5" t="s">
        <v>19</v>
      </c>
      <c r="E14" s="7"/>
      <c r="F14" s="5" t="s">
        <v>23</v>
      </c>
      <c r="G14" s="5" t="s">
        <v>21</v>
      </c>
      <c r="H14" s="5">
        <v>5.0</v>
      </c>
      <c r="I14" s="5">
        <v>4.0</v>
      </c>
      <c r="J14" s="5">
        <v>4.0</v>
      </c>
      <c r="K14" s="5">
        <v>5.0</v>
      </c>
      <c r="L14" s="7"/>
      <c r="M14" s="5">
        <v>5.0</v>
      </c>
      <c r="N14" s="5">
        <v>5.0</v>
      </c>
      <c r="O14" s="5">
        <v>5.0</v>
      </c>
      <c r="P14" s="5">
        <v>10.0</v>
      </c>
      <c r="Q14" s="5" t="s">
        <v>31</v>
      </c>
      <c r="R14" s="7"/>
    </row>
    <row r="15" ht="22.5" customHeight="1">
      <c r="A15" s="4">
        <v>45973.43499194444</v>
      </c>
      <c r="B15" s="5" t="s">
        <v>18</v>
      </c>
      <c r="C15" s="6">
        <v>45954.0</v>
      </c>
      <c r="D15" s="5" t="s">
        <v>19</v>
      </c>
      <c r="E15" s="7"/>
      <c r="F15" s="5" t="s">
        <v>20</v>
      </c>
      <c r="G15" s="5" t="s">
        <v>21</v>
      </c>
      <c r="H15" s="5">
        <v>5.0</v>
      </c>
      <c r="I15" s="5">
        <v>5.0</v>
      </c>
      <c r="J15" s="5">
        <v>5.0</v>
      </c>
      <c r="K15" s="5">
        <v>5.0</v>
      </c>
      <c r="L15" s="5">
        <v>5.0</v>
      </c>
      <c r="M15" s="5">
        <v>5.0</v>
      </c>
      <c r="N15" s="5">
        <v>5.0</v>
      </c>
      <c r="O15" s="5">
        <v>5.0</v>
      </c>
      <c r="P15" s="5">
        <v>9.0</v>
      </c>
      <c r="Q15" s="7"/>
      <c r="R15" s="7"/>
    </row>
    <row r="16" ht="22.5" customHeight="1">
      <c r="A16" s="4">
        <v>45973.4356546875</v>
      </c>
      <c r="B16" s="5" t="s">
        <v>18</v>
      </c>
      <c r="C16" s="6">
        <v>45954.0</v>
      </c>
      <c r="D16" s="5" t="s">
        <v>19</v>
      </c>
      <c r="E16" s="7"/>
      <c r="F16" s="5" t="s">
        <v>20</v>
      </c>
      <c r="G16" s="5" t="s">
        <v>21</v>
      </c>
      <c r="H16" s="5">
        <v>4.0</v>
      </c>
      <c r="I16" s="5">
        <v>4.0</v>
      </c>
      <c r="J16" s="5">
        <v>5.0</v>
      </c>
      <c r="K16" s="7"/>
      <c r="L16" s="5">
        <v>5.0</v>
      </c>
      <c r="M16" s="5">
        <v>5.0</v>
      </c>
      <c r="N16" s="5">
        <v>4.0</v>
      </c>
      <c r="O16" s="5">
        <v>5.0</v>
      </c>
      <c r="P16" s="5">
        <v>7.0</v>
      </c>
      <c r="Q16" s="7"/>
      <c r="R16" s="7"/>
    </row>
    <row r="17" ht="22.5" customHeight="1">
      <c r="A17" s="4">
        <v>45973.436182314814</v>
      </c>
      <c r="B17" s="5" t="s">
        <v>18</v>
      </c>
      <c r="C17" s="6">
        <v>45972.0</v>
      </c>
      <c r="D17" s="5" t="s">
        <v>19</v>
      </c>
      <c r="E17" s="7"/>
      <c r="F17" s="5" t="s">
        <v>23</v>
      </c>
      <c r="G17" s="5" t="s">
        <v>21</v>
      </c>
      <c r="H17" s="5">
        <v>5.0</v>
      </c>
      <c r="I17" s="5">
        <v>5.0</v>
      </c>
      <c r="J17" s="5">
        <v>4.0</v>
      </c>
      <c r="K17" s="5">
        <v>5.0</v>
      </c>
      <c r="L17" s="5">
        <v>4.0</v>
      </c>
      <c r="M17" s="5">
        <v>5.0</v>
      </c>
      <c r="N17" s="5">
        <v>5.0</v>
      </c>
      <c r="O17" s="5">
        <v>5.0</v>
      </c>
      <c r="P17" s="5">
        <v>7.0</v>
      </c>
      <c r="Q17" s="7"/>
      <c r="R17" s="7"/>
    </row>
    <row r="18" ht="22.5" customHeight="1">
      <c r="A18" s="4">
        <v>45973.43668777778</v>
      </c>
      <c r="B18" s="5" t="s">
        <v>18</v>
      </c>
      <c r="C18" s="6">
        <v>45954.0</v>
      </c>
      <c r="D18" s="5" t="s">
        <v>19</v>
      </c>
      <c r="E18" s="7"/>
      <c r="F18" s="5" t="s">
        <v>23</v>
      </c>
      <c r="G18" s="5" t="s">
        <v>21</v>
      </c>
      <c r="H18" s="5">
        <v>5.0</v>
      </c>
      <c r="I18" s="5">
        <v>5.0</v>
      </c>
      <c r="J18" s="5">
        <v>5.0</v>
      </c>
      <c r="K18" s="5">
        <v>5.0</v>
      </c>
      <c r="L18" s="5">
        <v>5.0</v>
      </c>
      <c r="M18" s="5">
        <v>5.0</v>
      </c>
      <c r="N18" s="5">
        <v>5.0</v>
      </c>
      <c r="O18" s="5">
        <v>5.0</v>
      </c>
      <c r="P18" s="5">
        <v>10.0</v>
      </c>
      <c r="Q18" s="7"/>
      <c r="R18" s="7"/>
    </row>
    <row r="19" ht="22.5" customHeight="1">
      <c r="A19" s="4">
        <v>45973.4372846412</v>
      </c>
      <c r="B19" s="5" t="s">
        <v>18</v>
      </c>
      <c r="C19" s="6">
        <v>45940.0</v>
      </c>
      <c r="D19" s="5" t="s">
        <v>19</v>
      </c>
      <c r="E19" s="7"/>
      <c r="F19" s="5" t="s">
        <v>23</v>
      </c>
      <c r="G19" s="5" t="s">
        <v>21</v>
      </c>
      <c r="H19" s="5">
        <v>4.0</v>
      </c>
      <c r="I19" s="5">
        <v>4.0</v>
      </c>
      <c r="J19" s="5">
        <v>4.0</v>
      </c>
      <c r="K19" s="5">
        <v>4.0</v>
      </c>
      <c r="L19" s="5">
        <v>4.0</v>
      </c>
      <c r="M19" s="5">
        <v>4.0</v>
      </c>
      <c r="N19" s="5">
        <v>4.0</v>
      </c>
      <c r="O19" s="5">
        <v>4.0</v>
      </c>
      <c r="P19" s="5">
        <v>10.0</v>
      </c>
      <c r="Q19" s="7"/>
      <c r="R19" s="7"/>
    </row>
    <row r="20" ht="22.5" customHeight="1">
      <c r="A20" s="4">
        <v>45973.4381305787</v>
      </c>
      <c r="B20" s="5" t="s">
        <v>18</v>
      </c>
      <c r="C20" s="6">
        <v>45944.0</v>
      </c>
      <c r="D20" s="5" t="s">
        <v>19</v>
      </c>
      <c r="E20" s="7"/>
      <c r="F20" s="5" t="s">
        <v>20</v>
      </c>
      <c r="G20" s="5" t="s">
        <v>21</v>
      </c>
      <c r="H20" s="5">
        <v>4.0</v>
      </c>
      <c r="I20" s="5">
        <v>4.0</v>
      </c>
      <c r="J20" s="5">
        <v>4.0</v>
      </c>
      <c r="K20" s="5">
        <v>5.0</v>
      </c>
      <c r="L20" s="7"/>
      <c r="M20" s="5">
        <v>5.0</v>
      </c>
      <c r="N20" s="5">
        <v>5.0</v>
      </c>
      <c r="O20" s="5">
        <v>5.0</v>
      </c>
      <c r="P20" s="5">
        <v>10.0</v>
      </c>
      <c r="Q20" s="7"/>
      <c r="R20" s="7"/>
    </row>
    <row r="21" ht="22.5" customHeight="1">
      <c r="A21" s="8">
        <v>46056.43835340277</v>
      </c>
      <c r="B21" s="9" t="s">
        <v>18</v>
      </c>
      <c r="C21" s="10">
        <v>46056.0</v>
      </c>
      <c r="D21" s="9" t="s">
        <v>19</v>
      </c>
      <c r="F21" s="9" t="s">
        <v>32</v>
      </c>
      <c r="G21" s="9" t="s">
        <v>33</v>
      </c>
      <c r="P21" s="9">
        <v>1.0</v>
      </c>
      <c r="Q21" s="9" t="s">
        <v>34</v>
      </c>
      <c r="R21" s="9" t="s">
        <v>35</v>
      </c>
    </row>
    <row r="22" ht="22.5" customHeight="1">
      <c r="A22" s="8">
        <v>46170.65725020833</v>
      </c>
      <c r="B22" s="9" t="s">
        <v>18</v>
      </c>
      <c r="C22" s="10">
        <v>46104.0</v>
      </c>
      <c r="D22" s="9" t="s">
        <v>36</v>
      </c>
      <c r="F22" s="9" t="s">
        <v>23</v>
      </c>
      <c r="G22" s="9" t="s">
        <v>21</v>
      </c>
      <c r="H22" s="9">
        <v>5.0</v>
      </c>
      <c r="I22" s="9">
        <v>5.0</v>
      </c>
      <c r="J22" s="9">
        <v>5.0</v>
      </c>
      <c r="K22" s="9">
        <v>5.0</v>
      </c>
      <c r="L22" s="9">
        <v>5.0</v>
      </c>
      <c r="M22" s="9">
        <v>5.0</v>
      </c>
      <c r="N22" s="9">
        <v>5.0</v>
      </c>
      <c r="O22" s="9">
        <v>5.0</v>
      </c>
      <c r="P22" s="9">
        <v>10.0</v>
      </c>
    </row>
    <row r="23" ht="22.5" customHeight="1">
      <c r="A23" s="8">
        <v>46170.65826280093</v>
      </c>
      <c r="B23" s="9" t="s">
        <v>18</v>
      </c>
      <c r="C23" s="10">
        <v>46112.0</v>
      </c>
      <c r="D23" s="9" t="s">
        <v>36</v>
      </c>
      <c r="F23" s="9" t="s">
        <v>20</v>
      </c>
      <c r="G23" s="9" t="s">
        <v>21</v>
      </c>
      <c r="H23" s="9">
        <v>5.0</v>
      </c>
      <c r="I23" s="9">
        <v>5.0</v>
      </c>
      <c r="J23" s="9">
        <v>5.0</v>
      </c>
      <c r="K23" s="9">
        <v>5.0</v>
      </c>
      <c r="L23" s="9">
        <v>5.0</v>
      </c>
      <c r="M23" s="9">
        <v>5.0</v>
      </c>
      <c r="N23" s="9">
        <v>5.0</v>
      </c>
      <c r="O23" s="9">
        <v>5.0</v>
      </c>
      <c r="P23" s="9">
        <v>10.0</v>
      </c>
    </row>
    <row r="24" ht="22.5" customHeight="1">
      <c r="A24" s="8">
        <v>46170.66016958334</v>
      </c>
      <c r="B24" s="9" t="s">
        <v>18</v>
      </c>
      <c r="C24" s="10">
        <v>46094.0</v>
      </c>
      <c r="D24" s="9" t="s">
        <v>26</v>
      </c>
      <c r="E24" s="9" t="s">
        <v>37</v>
      </c>
      <c r="F24" s="9" t="s">
        <v>20</v>
      </c>
      <c r="G24" s="9" t="s">
        <v>21</v>
      </c>
      <c r="H24" s="9">
        <v>5.0</v>
      </c>
      <c r="I24" s="9">
        <v>5.0</v>
      </c>
      <c r="J24" s="9">
        <v>5.0</v>
      </c>
      <c r="K24" s="9">
        <v>5.0</v>
      </c>
      <c r="M24" s="9">
        <v>5.0</v>
      </c>
      <c r="N24" s="9">
        <v>5.0</v>
      </c>
      <c r="O24" s="9">
        <v>5.0</v>
      </c>
      <c r="P24" s="9">
        <v>10.0</v>
      </c>
      <c r="Q24" s="9" t="s">
        <v>38</v>
      </c>
    </row>
    <row r="25" ht="22.5" customHeight="1">
      <c r="A25" s="8">
        <v>46170.66100385417</v>
      </c>
      <c r="B25" s="9" t="s">
        <v>18</v>
      </c>
      <c r="C25" s="10">
        <v>46111.0</v>
      </c>
      <c r="D25" s="9" t="s">
        <v>26</v>
      </c>
      <c r="F25" s="9" t="s">
        <v>32</v>
      </c>
      <c r="G25" s="9" t="s">
        <v>21</v>
      </c>
      <c r="H25" s="9">
        <v>4.0</v>
      </c>
      <c r="I25" s="9">
        <v>4.0</v>
      </c>
      <c r="J25" s="9">
        <v>4.0</v>
      </c>
      <c r="K25" s="9">
        <v>4.0</v>
      </c>
      <c r="L25" s="9">
        <v>4.0</v>
      </c>
      <c r="M25" s="9">
        <v>4.0</v>
      </c>
      <c r="N25" s="9">
        <v>4.0</v>
      </c>
      <c r="O25" s="9">
        <v>4.0</v>
      </c>
      <c r="P25" s="9">
        <v>9.0</v>
      </c>
    </row>
    <row r="26" ht="22.5" customHeight="1">
      <c r="A26" s="8">
        <v>46170.66165361111</v>
      </c>
      <c r="B26" s="9" t="s">
        <v>18</v>
      </c>
      <c r="C26" s="10">
        <v>46086.0</v>
      </c>
      <c r="D26" s="9" t="s">
        <v>26</v>
      </c>
      <c r="F26" s="9" t="s">
        <v>23</v>
      </c>
      <c r="G26" s="9" t="s">
        <v>21</v>
      </c>
      <c r="H26" s="9">
        <v>5.0</v>
      </c>
      <c r="I26" s="9">
        <v>5.0</v>
      </c>
      <c r="J26" s="9">
        <v>5.0</v>
      </c>
      <c r="K26" s="9">
        <v>5.0</v>
      </c>
      <c r="L26" s="9">
        <v>5.0</v>
      </c>
      <c r="M26" s="9">
        <v>5.0</v>
      </c>
      <c r="N26" s="9">
        <v>5.0</v>
      </c>
      <c r="O26" s="9">
        <v>5.0</v>
      </c>
      <c r="P26" s="9">
        <v>10.0</v>
      </c>
      <c r="Q26" s="9" t="s">
        <v>39</v>
      </c>
    </row>
    <row r="27" ht="22.5" customHeight="1">
      <c r="A27" s="8">
        <v>46170.66728732639</v>
      </c>
      <c r="B27" s="9" t="s">
        <v>18</v>
      </c>
      <c r="C27" s="10">
        <v>46094.0</v>
      </c>
      <c r="D27" s="9" t="s">
        <v>26</v>
      </c>
      <c r="F27" s="9" t="s">
        <v>20</v>
      </c>
      <c r="G27" s="9" t="s">
        <v>21</v>
      </c>
      <c r="H27" s="9">
        <v>5.0</v>
      </c>
      <c r="I27" s="9">
        <v>5.0</v>
      </c>
      <c r="J27" s="9">
        <v>5.0</v>
      </c>
      <c r="K27" s="9">
        <v>5.0</v>
      </c>
      <c r="M27" s="9">
        <v>5.0</v>
      </c>
      <c r="N27" s="9">
        <v>5.0</v>
      </c>
      <c r="O27" s="9">
        <v>5.0</v>
      </c>
      <c r="P27" s="9">
        <v>10.0</v>
      </c>
    </row>
    <row r="28" ht="22.5" customHeight="1">
      <c r="A28" s="8">
        <v>46170.66792439815</v>
      </c>
      <c r="B28" s="9" t="s">
        <v>18</v>
      </c>
      <c r="C28" s="10">
        <v>46094.0</v>
      </c>
      <c r="D28" s="9" t="s">
        <v>26</v>
      </c>
      <c r="F28" s="9" t="s">
        <v>20</v>
      </c>
      <c r="G28" s="9" t="s">
        <v>21</v>
      </c>
      <c r="H28" s="9">
        <v>5.0</v>
      </c>
      <c r="I28" s="9">
        <v>5.0</v>
      </c>
      <c r="J28" s="9">
        <v>5.0</v>
      </c>
      <c r="K28" s="9">
        <v>5.0</v>
      </c>
      <c r="L28" s="9">
        <v>5.0</v>
      </c>
      <c r="M28" s="9">
        <v>5.0</v>
      </c>
      <c r="N28" s="9">
        <v>5.0</v>
      </c>
      <c r="O28" s="9">
        <v>5.0</v>
      </c>
      <c r="P28" s="9">
        <v>10.0</v>
      </c>
      <c r="Q28" s="9" t="s">
        <v>40</v>
      </c>
    </row>
    <row r="29" ht="22.5" customHeight="1">
      <c r="A29" s="8">
        <v>46170.66856672453</v>
      </c>
      <c r="B29" s="9" t="s">
        <v>18</v>
      </c>
      <c r="C29" s="10">
        <v>46107.0</v>
      </c>
      <c r="D29" s="9" t="s">
        <v>26</v>
      </c>
      <c r="F29" s="9" t="s">
        <v>23</v>
      </c>
      <c r="G29" s="9" t="s">
        <v>21</v>
      </c>
      <c r="H29" s="9">
        <v>5.0</v>
      </c>
      <c r="I29" s="9">
        <v>5.0</v>
      </c>
      <c r="J29" s="9">
        <v>5.0</v>
      </c>
      <c r="K29" s="9">
        <v>5.0</v>
      </c>
      <c r="M29" s="9">
        <v>5.0</v>
      </c>
      <c r="N29" s="9">
        <v>5.0</v>
      </c>
      <c r="O29" s="9">
        <v>5.0</v>
      </c>
      <c r="P29" s="9">
        <v>10.0</v>
      </c>
      <c r="Q29" s="9" t="s">
        <v>41</v>
      </c>
    </row>
    <row r="30" ht="22.5" customHeight="1">
      <c r="A30" s="8">
        <v>46170.669995625</v>
      </c>
      <c r="B30" s="9" t="s">
        <v>18</v>
      </c>
      <c r="C30" s="10">
        <v>46090.0</v>
      </c>
      <c r="D30" s="9" t="s">
        <v>19</v>
      </c>
      <c r="F30" s="9" t="s">
        <v>20</v>
      </c>
      <c r="G30" s="9" t="s">
        <v>21</v>
      </c>
      <c r="H30" s="9">
        <v>5.0</v>
      </c>
      <c r="I30" s="9">
        <v>5.0</v>
      </c>
      <c r="J30" s="9">
        <v>5.0</v>
      </c>
      <c r="K30" s="9">
        <v>5.0</v>
      </c>
      <c r="L30" s="9">
        <v>5.0</v>
      </c>
      <c r="M30" s="9">
        <v>5.0</v>
      </c>
      <c r="N30" s="9">
        <v>5.0</v>
      </c>
      <c r="O30" s="9">
        <v>5.0</v>
      </c>
      <c r="P30" s="9">
        <v>10.0</v>
      </c>
    </row>
    <row r="31" ht="22.5" customHeight="1">
      <c r="A31" s="8">
        <v>46170.68119682871</v>
      </c>
      <c r="B31" s="9" t="s">
        <v>18</v>
      </c>
      <c r="C31" s="10">
        <v>46091.0</v>
      </c>
      <c r="D31" s="9" t="s">
        <v>19</v>
      </c>
      <c r="E31" s="9" t="s">
        <v>42</v>
      </c>
      <c r="F31" s="9" t="s">
        <v>20</v>
      </c>
      <c r="G31" s="9" t="s">
        <v>21</v>
      </c>
      <c r="H31" s="9">
        <v>5.0</v>
      </c>
      <c r="I31" s="9">
        <v>5.0</v>
      </c>
      <c r="J31" s="9">
        <v>5.0</v>
      </c>
      <c r="K31" s="9">
        <v>5.0</v>
      </c>
      <c r="M31" s="9">
        <v>5.0</v>
      </c>
      <c r="N31" s="9">
        <v>5.0</v>
      </c>
      <c r="O31" s="9">
        <v>5.0</v>
      </c>
      <c r="P31" s="9">
        <v>10.0</v>
      </c>
    </row>
    <row r="32" ht="22.5" customHeight="1">
      <c r="A32" s="8">
        <v>46170.69200791667</v>
      </c>
      <c r="B32" s="9" t="s">
        <v>18</v>
      </c>
      <c r="C32" s="10">
        <v>46091.0</v>
      </c>
      <c r="D32" s="9" t="s">
        <v>19</v>
      </c>
      <c r="F32" s="9" t="s">
        <v>23</v>
      </c>
      <c r="G32" s="9" t="s">
        <v>21</v>
      </c>
      <c r="H32" s="9">
        <v>5.0</v>
      </c>
      <c r="I32" s="9">
        <v>5.0</v>
      </c>
      <c r="J32" s="9">
        <v>5.0</v>
      </c>
      <c r="K32" s="9">
        <v>5.0</v>
      </c>
      <c r="M32" s="9">
        <v>5.0</v>
      </c>
      <c r="N32" s="9">
        <v>5.0</v>
      </c>
      <c r="O32" s="9">
        <v>5.0</v>
      </c>
      <c r="P32" s="9">
        <v>10.0</v>
      </c>
      <c r="Q32" s="9" t="s">
        <v>43</v>
      </c>
    </row>
    <row r="33" ht="22.5" customHeight="1">
      <c r="A33" s="8">
        <v>46170.6931921412</v>
      </c>
      <c r="B33" s="9" t="s">
        <v>18</v>
      </c>
      <c r="C33" s="10">
        <v>46097.0</v>
      </c>
      <c r="D33" s="9" t="s">
        <v>19</v>
      </c>
      <c r="E33" s="9" t="s">
        <v>44</v>
      </c>
      <c r="F33" s="9" t="s">
        <v>23</v>
      </c>
      <c r="G33" s="9" t="s">
        <v>21</v>
      </c>
      <c r="H33" s="9">
        <v>5.0</v>
      </c>
      <c r="I33" s="9">
        <v>5.0</v>
      </c>
      <c r="J33" s="9">
        <v>5.0</v>
      </c>
      <c r="K33" s="9">
        <v>5.0</v>
      </c>
      <c r="M33" s="9">
        <v>5.0</v>
      </c>
      <c r="N33" s="9">
        <v>5.0</v>
      </c>
      <c r="O33" s="9">
        <v>5.0</v>
      </c>
      <c r="P33" s="9">
        <v>10.0</v>
      </c>
    </row>
    <row r="34" ht="22.5" customHeight="1">
      <c r="A34" s="8">
        <v>46170.69482446759</v>
      </c>
      <c r="B34" s="9" t="s">
        <v>18</v>
      </c>
      <c r="C34" s="10">
        <v>46094.0</v>
      </c>
      <c r="D34" s="9" t="s">
        <v>19</v>
      </c>
      <c r="F34" s="9" t="s">
        <v>20</v>
      </c>
      <c r="G34" s="9" t="s">
        <v>21</v>
      </c>
      <c r="H34" s="9">
        <v>5.0</v>
      </c>
      <c r="I34" s="9">
        <v>5.0</v>
      </c>
      <c r="J34" s="9">
        <v>5.0</v>
      </c>
      <c r="K34" s="9">
        <v>5.0</v>
      </c>
      <c r="M34" s="9">
        <v>5.0</v>
      </c>
      <c r="N34" s="9">
        <v>5.0</v>
      </c>
      <c r="O34" s="9">
        <v>5.0</v>
      </c>
      <c r="P34" s="9">
        <v>10.0</v>
      </c>
    </row>
    <row r="35" ht="22.5" customHeight="1">
      <c r="A35" s="8">
        <v>46171.36245017361</v>
      </c>
      <c r="B35" s="9" t="s">
        <v>18</v>
      </c>
      <c r="C35" s="10">
        <v>46097.0</v>
      </c>
      <c r="D35" s="9" t="s">
        <v>19</v>
      </c>
      <c r="F35" s="9" t="s">
        <v>20</v>
      </c>
      <c r="G35" s="9" t="s">
        <v>21</v>
      </c>
      <c r="H35" s="9">
        <v>5.0</v>
      </c>
      <c r="I35" s="9">
        <v>5.0</v>
      </c>
      <c r="J35" s="9">
        <v>5.0</v>
      </c>
      <c r="K35" s="9">
        <v>5.0</v>
      </c>
      <c r="M35" s="9">
        <v>5.0</v>
      </c>
      <c r="N35" s="9">
        <v>5.0</v>
      </c>
      <c r="O35" s="9">
        <v>5.0</v>
      </c>
      <c r="P35" s="9">
        <v>10.0</v>
      </c>
    </row>
    <row r="36" ht="22.5" customHeight="1">
      <c r="A36" s="8">
        <v>46171.363925729165</v>
      </c>
      <c r="B36" s="9" t="s">
        <v>18</v>
      </c>
      <c r="C36" s="10">
        <v>46097.0</v>
      </c>
      <c r="D36" s="9" t="s">
        <v>19</v>
      </c>
      <c r="F36" s="9" t="s">
        <v>20</v>
      </c>
      <c r="G36" s="9" t="s">
        <v>21</v>
      </c>
      <c r="H36" s="9">
        <v>5.0</v>
      </c>
      <c r="I36" s="9">
        <v>5.0</v>
      </c>
      <c r="K36" s="9">
        <v>5.0</v>
      </c>
      <c r="M36" s="9">
        <v>5.0</v>
      </c>
      <c r="N36" s="9">
        <v>5.0</v>
      </c>
      <c r="O36" s="9">
        <v>5.0</v>
      </c>
      <c r="P36" s="9">
        <v>10.0</v>
      </c>
    </row>
    <row r="37" ht="22.5" customHeight="1">
      <c r="A37" s="8">
        <v>46171.36459707176</v>
      </c>
      <c r="B37" s="9" t="s">
        <v>18</v>
      </c>
      <c r="C37" s="10">
        <v>46097.0</v>
      </c>
      <c r="D37" s="9" t="s">
        <v>19</v>
      </c>
      <c r="F37" s="9" t="s">
        <v>23</v>
      </c>
      <c r="G37" s="9" t="s">
        <v>21</v>
      </c>
      <c r="H37" s="9">
        <v>1.0</v>
      </c>
      <c r="I37" s="9">
        <v>5.0</v>
      </c>
      <c r="J37" s="9">
        <v>5.0</v>
      </c>
      <c r="K37" s="9">
        <v>5.0</v>
      </c>
      <c r="M37" s="9">
        <v>5.0</v>
      </c>
      <c r="N37" s="9">
        <v>5.0</v>
      </c>
      <c r="O37" s="9">
        <v>5.0</v>
      </c>
      <c r="P37" s="9">
        <v>10.0</v>
      </c>
    </row>
    <row r="38" ht="22.5" customHeight="1">
      <c r="A38" s="8">
        <v>46171.36515859954</v>
      </c>
      <c r="B38" s="9" t="s">
        <v>18</v>
      </c>
      <c r="C38" s="10">
        <v>46097.0</v>
      </c>
      <c r="D38" s="9" t="s">
        <v>19</v>
      </c>
      <c r="F38" s="9" t="s">
        <v>23</v>
      </c>
      <c r="G38" s="9" t="s">
        <v>21</v>
      </c>
      <c r="H38" s="9">
        <v>5.0</v>
      </c>
      <c r="I38" s="9">
        <v>5.0</v>
      </c>
      <c r="J38" s="9">
        <v>5.0</v>
      </c>
      <c r="K38" s="9">
        <v>5.0</v>
      </c>
      <c r="M38" s="9">
        <v>5.0</v>
      </c>
      <c r="N38" s="9">
        <v>5.0</v>
      </c>
      <c r="O38" s="9">
        <v>5.0</v>
      </c>
      <c r="P38" s="9">
        <v>10.0</v>
      </c>
    </row>
    <row r="39" ht="22.5" customHeight="1">
      <c r="A39" s="8">
        <v>46171.36877016204</v>
      </c>
      <c r="B39" s="9" t="s">
        <v>18</v>
      </c>
      <c r="C39" s="10">
        <v>46097.0</v>
      </c>
      <c r="D39" s="9" t="s">
        <v>19</v>
      </c>
      <c r="F39" s="9" t="s">
        <v>20</v>
      </c>
      <c r="G39" s="9" t="s">
        <v>45</v>
      </c>
      <c r="H39" s="9">
        <v>5.0</v>
      </c>
      <c r="I39" s="9">
        <v>5.0</v>
      </c>
      <c r="J39" s="9">
        <v>5.0</v>
      </c>
      <c r="K39" s="9">
        <v>5.0</v>
      </c>
      <c r="M39" s="9">
        <v>5.0</v>
      </c>
      <c r="N39" s="9">
        <v>5.0</v>
      </c>
      <c r="O39" s="9">
        <v>5.0</v>
      </c>
      <c r="P39" s="9">
        <v>8.0</v>
      </c>
    </row>
    <row r="40" ht="22.5" customHeight="1">
      <c r="A40" s="8">
        <v>46171.36955631945</v>
      </c>
      <c r="B40" s="9" t="s">
        <v>18</v>
      </c>
      <c r="C40" s="10">
        <v>46098.0</v>
      </c>
      <c r="D40" s="9" t="s">
        <v>19</v>
      </c>
      <c r="E40" s="9" t="s">
        <v>46</v>
      </c>
      <c r="F40" s="9" t="s">
        <v>23</v>
      </c>
      <c r="G40" s="9" t="s">
        <v>21</v>
      </c>
      <c r="H40" s="9">
        <v>5.0</v>
      </c>
      <c r="I40" s="9">
        <v>5.0</v>
      </c>
      <c r="J40" s="9">
        <v>5.0</v>
      </c>
      <c r="K40" s="9">
        <v>5.0</v>
      </c>
      <c r="M40" s="9">
        <v>5.0</v>
      </c>
      <c r="N40" s="9">
        <v>5.0</v>
      </c>
      <c r="O40" s="9">
        <v>5.0</v>
      </c>
      <c r="P40" s="9">
        <v>10.0</v>
      </c>
    </row>
    <row r="41" ht="22.5" customHeight="1">
      <c r="A41" s="8">
        <v>46171.37007883102</v>
      </c>
      <c r="B41" s="9" t="s">
        <v>18</v>
      </c>
      <c r="C41" s="10">
        <v>46098.0</v>
      </c>
      <c r="D41" s="9" t="s">
        <v>19</v>
      </c>
      <c r="F41" s="9" t="s">
        <v>20</v>
      </c>
      <c r="G41" s="9" t="s">
        <v>21</v>
      </c>
      <c r="H41" s="9">
        <v>5.0</v>
      </c>
      <c r="I41" s="9">
        <v>5.0</v>
      </c>
      <c r="J41" s="9">
        <v>5.0</v>
      </c>
      <c r="K41" s="9">
        <v>5.0</v>
      </c>
      <c r="L41" s="9">
        <v>5.0</v>
      </c>
      <c r="M41" s="9">
        <v>5.0</v>
      </c>
      <c r="N41" s="9">
        <v>5.0</v>
      </c>
      <c r="O41" s="9">
        <v>5.0</v>
      </c>
      <c r="P41" s="9">
        <v>10.0</v>
      </c>
    </row>
    <row r="42" ht="22.5" customHeight="1">
      <c r="A42" s="8">
        <v>46171.371113368055</v>
      </c>
      <c r="B42" s="9" t="s">
        <v>18</v>
      </c>
      <c r="C42" s="10">
        <v>46098.0</v>
      </c>
      <c r="D42" s="9" t="s">
        <v>19</v>
      </c>
      <c r="F42" s="9" t="s">
        <v>23</v>
      </c>
      <c r="G42" s="9" t="s">
        <v>21</v>
      </c>
      <c r="H42" s="9">
        <v>5.0</v>
      </c>
      <c r="I42" s="9">
        <v>5.0</v>
      </c>
      <c r="J42" s="9">
        <v>5.0</v>
      </c>
      <c r="K42" s="9">
        <v>5.0</v>
      </c>
      <c r="L42" s="9">
        <v>5.0</v>
      </c>
      <c r="M42" s="9">
        <v>5.0</v>
      </c>
      <c r="N42" s="9">
        <v>5.0</v>
      </c>
      <c r="O42" s="9">
        <v>5.0</v>
      </c>
      <c r="P42" s="9">
        <v>10.0</v>
      </c>
    </row>
    <row r="43" ht="22.5" customHeight="1">
      <c r="A43" s="8">
        <v>46171.37369912037</v>
      </c>
      <c r="B43" s="9" t="s">
        <v>18</v>
      </c>
      <c r="C43" s="10">
        <v>46100.0</v>
      </c>
      <c r="D43" s="9" t="s">
        <v>19</v>
      </c>
      <c r="F43" s="9" t="s">
        <v>20</v>
      </c>
      <c r="G43" s="9" t="s">
        <v>47</v>
      </c>
      <c r="H43" s="9">
        <v>5.0</v>
      </c>
      <c r="P43" s="9">
        <v>6.0</v>
      </c>
    </row>
    <row r="44" ht="22.5" customHeight="1">
      <c r="A44" s="8">
        <v>46171.37437196759</v>
      </c>
      <c r="B44" s="9" t="s">
        <v>18</v>
      </c>
      <c r="C44" s="10">
        <v>46106.0</v>
      </c>
      <c r="D44" s="9" t="s">
        <v>19</v>
      </c>
      <c r="E44" s="9" t="s">
        <v>48</v>
      </c>
      <c r="F44" s="9" t="s">
        <v>20</v>
      </c>
      <c r="G44" s="9" t="s">
        <v>21</v>
      </c>
      <c r="H44" s="9">
        <v>5.0</v>
      </c>
      <c r="I44" s="9">
        <v>5.0</v>
      </c>
      <c r="J44" s="9">
        <v>5.0</v>
      </c>
      <c r="K44" s="9">
        <v>5.0</v>
      </c>
      <c r="L44" s="9">
        <v>4.0</v>
      </c>
      <c r="M44" s="9">
        <v>5.0</v>
      </c>
      <c r="N44" s="9">
        <v>5.0</v>
      </c>
      <c r="O44" s="9">
        <v>5.0</v>
      </c>
      <c r="P44" s="9">
        <v>10.0</v>
      </c>
    </row>
    <row r="45" ht="22.5" customHeight="1">
      <c r="A45" s="8">
        <v>46171.37489803241</v>
      </c>
      <c r="B45" s="9" t="s">
        <v>18</v>
      </c>
      <c r="C45" s="10">
        <v>46104.0</v>
      </c>
      <c r="D45" s="9" t="s">
        <v>19</v>
      </c>
      <c r="F45" s="9" t="s">
        <v>23</v>
      </c>
      <c r="G45" s="9" t="s">
        <v>21</v>
      </c>
      <c r="H45" s="9">
        <v>5.0</v>
      </c>
      <c r="I45" s="9">
        <v>5.0</v>
      </c>
      <c r="J45" s="9">
        <v>5.0</v>
      </c>
      <c r="K45" s="9">
        <v>5.0</v>
      </c>
      <c r="L45" s="9">
        <v>5.0</v>
      </c>
      <c r="M45" s="9">
        <v>5.0</v>
      </c>
      <c r="N45" s="9">
        <v>5.0</v>
      </c>
      <c r="O45" s="9">
        <v>5.0</v>
      </c>
      <c r="P45" s="9">
        <v>10.0</v>
      </c>
    </row>
    <row r="46" ht="22.5" customHeight="1">
      <c r="A46" s="8">
        <v>46171.37541706019</v>
      </c>
      <c r="B46" s="9" t="s">
        <v>18</v>
      </c>
      <c r="C46" s="10">
        <v>46104.0</v>
      </c>
      <c r="D46" s="9" t="s">
        <v>19</v>
      </c>
      <c r="F46" s="9" t="s">
        <v>20</v>
      </c>
      <c r="G46" s="9" t="s">
        <v>21</v>
      </c>
      <c r="H46" s="9">
        <v>5.0</v>
      </c>
      <c r="I46" s="9">
        <v>5.0</v>
      </c>
      <c r="J46" s="9">
        <v>5.0</v>
      </c>
      <c r="K46" s="9">
        <v>5.0</v>
      </c>
      <c r="L46" s="9">
        <v>5.0</v>
      </c>
      <c r="M46" s="9">
        <v>5.0</v>
      </c>
      <c r="N46" s="9">
        <v>5.0</v>
      </c>
      <c r="O46" s="9">
        <v>5.0</v>
      </c>
      <c r="P46" s="9">
        <v>10.0</v>
      </c>
    </row>
    <row r="47" ht="22.5" customHeight="1">
      <c r="A47" s="8">
        <v>46171.37796363426</v>
      </c>
      <c r="B47" s="9" t="s">
        <v>18</v>
      </c>
      <c r="C47" s="10">
        <v>46104.0</v>
      </c>
      <c r="D47" s="9" t="s">
        <v>19</v>
      </c>
      <c r="F47" s="9" t="s">
        <v>20</v>
      </c>
      <c r="G47" s="9" t="s">
        <v>21</v>
      </c>
      <c r="H47" s="9">
        <v>5.0</v>
      </c>
      <c r="I47" s="9">
        <v>5.0</v>
      </c>
      <c r="J47" s="9">
        <v>5.0</v>
      </c>
      <c r="K47" s="9">
        <v>5.0</v>
      </c>
      <c r="L47" s="9">
        <v>5.0</v>
      </c>
      <c r="M47" s="9">
        <v>5.0</v>
      </c>
      <c r="N47" s="9">
        <v>5.0</v>
      </c>
      <c r="O47" s="9">
        <v>5.0</v>
      </c>
      <c r="P47" s="9">
        <v>10.0</v>
      </c>
    </row>
    <row r="48" ht="22.5" customHeight="1">
      <c r="A48" s="8">
        <v>46171.378757997685</v>
      </c>
      <c r="B48" s="9" t="s">
        <v>18</v>
      </c>
      <c r="C48" s="10">
        <v>46112.0</v>
      </c>
      <c r="D48" s="9" t="s">
        <v>19</v>
      </c>
      <c r="F48" s="9" t="s">
        <v>20</v>
      </c>
      <c r="G48" s="9" t="s">
        <v>21</v>
      </c>
      <c r="H48" s="9">
        <v>5.0</v>
      </c>
      <c r="I48" s="9">
        <v>5.0</v>
      </c>
      <c r="J48" s="9">
        <v>5.0</v>
      </c>
      <c r="K48" s="9">
        <v>5.0</v>
      </c>
      <c r="L48" s="9">
        <v>5.0</v>
      </c>
      <c r="M48" s="9">
        <v>5.0</v>
      </c>
      <c r="N48" s="9">
        <v>5.0</v>
      </c>
      <c r="O48" s="9">
        <v>5.0</v>
      </c>
      <c r="P48" s="9">
        <v>10.0</v>
      </c>
    </row>
    <row r="49" ht="22.5" customHeight="1">
      <c r="A49" s="8">
        <v>46171.379382025465</v>
      </c>
      <c r="B49" s="9" t="s">
        <v>18</v>
      </c>
      <c r="C49" s="10">
        <v>46112.0</v>
      </c>
      <c r="D49" s="9" t="s">
        <v>19</v>
      </c>
      <c r="E49" s="9" t="s">
        <v>49</v>
      </c>
      <c r="F49" s="9" t="s">
        <v>23</v>
      </c>
      <c r="G49" s="9" t="s">
        <v>21</v>
      </c>
      <c r="H49" s="9">
        <v>5.0</v>
      </c>
      <c r="I49" s="9">
        <v>5.0</v>
      </c>
      <c r="J49" s="9">
        <v>5.0</v>
      </c>
      <c r="K49" s="9">
        <v>5.0</v>
      </c>
      <c r="M49" s="9">
        <v>5.0</v>
      </c>
      <c r="N49" s="9">
        <v>5.0</v>
      </c>
      <c r="O49" s="9">
        <v>5.0</v>
      </c>
      <c r="P49" s="9">
        <v>10.0</v>
      </c>
    </row>
    <row r="50" ht="22.5" customHeight="1">
      <c r="A50" s="8">
        <v>46171.38010170139</v>
      </c>
      <c r="B50" s="9" t="s">
        <v>18</v>
      </c>
      <c r="C50" s="10">
        <v>46118.0</v>
      </c>
      <c r="D50" s="9" t="s">
        <v>19</v>
      </c>
      <c r="F50" s="9" t="s">
        <v>20</v>
      </c>
      <c r="G50" s="9" t="s">
        <v>21</v>
      </c>
      <c r="H50" s="9">
        <v>5.0</v>
      </c>
      <c r="I50" s="9">
        <v>5.0</v>
      </c>
      <c r="J50" s="9">
        <v>5.0</v>
      </c>
      <c r="K50" s="9">
        <v>5.0</v>
      </c>
      <c r="M50" s="9">
        <v>5.0</v>
      </c>
      <c r="N50" s="9">
        <v>5.0</v>
      </c>
      <c r="O50" s="9">
        <v>5.0</v>
      </c>
      <c r="P50" s="9">
        <v>10.0</v>
      </c>
    </row>
    <row r="51" ht="22.5" customHeight="1">
      <c r="A51" s="8">
        <v>46171.38056543982</v>
      </c>
      <c r="B51" s="9" t="s">
        <v>18</v>
      </c>
      <c r="C51" s="10">
        <v>46119.0</v>
      </c>
      <c r="D51" s="9" t="s">
        <v>19</v>
      </c>
      <c r="F51" s="9" t="s">
        <v>23</v>
      </c>
      <c r="G51" s="9" t="s">
        <v>21</v>
      </c>
      <c r="H51" s="9">
        <v>5.0</v>
      </c>
      <c r="I51" s="9">
        <v>5.0</v>
      </c>
      <c r="J51" s="9">
        <v>5.0</v>
      </c>
      <c r="K51" s="9">
        <v>5.0</v>
      </c>
      <c r="L51" s="9">
        <v>5.0</v>
      </c>
      <c r="M51" s="9">
        <v>5.0</v>
      </c>
      <c r="N51" s="9">
        <v>5.0</v>
      </c>
      <c r="O51" s="9">
        <v>5.0</v>
      </c>
      <c r="P51" s="9">
        <v>10.0</v>
      </c>
    </row>
    <row r="52" ht="22.5" customHeight="1">
      <c r="A52" s="8">
        <v>46171.38107664352</v>
      </c>
      <c r="B52" s="9" t="s">
        <v>18</v>
      </c>
      <c r="C52" s="10">
        <v>46122.0</v>
      </c>
      <c r="D52" s="9" t="s">
        <v>19</v>
      </c>
      <c r="F52" s="9" t="s">
        <v>20</v>
      </c>
      <c r="G52" s="9" t="s">
        <v>21</v>
      </c>
      <c r="H52" s="9">
        <v>5.0</v>
      </c>
      <c r="I52" s="9">
        <v>5.0</v>
      </c>
      <c r="J52" s="9">
        <v>5.0</v>
      </c>
      <c r="K52" s="9">
        <v>5.0</v>
      </c>
      <c r="L52" s="9">
        <v>5.0</v>
      </c>
      <c r="M52" s="9">
        <v>5.0</v>
      </c>
      <c r="N52" s="9">
        <v>5.0</v>
      </c>
      <c r="O52" s="9">
        <v>5.0</v>
      </c>
      <c r="P52" s="9">
        <v>10.0</v>
      </c>
    </row>
    <row r="53" ht="22.5" customHeight="1">
      <c r="A53" s="8">
        <v>46171.38324483796</v>
      </c>
      <c r="B53" s="9" t="s">
        <v>18</v>
      </c>
      <c r="C53" s="10">
        <v>46125.0</v>
      </c>
      <c r="D53" s="9" t="s">
        <v>19</v>
      </c>
      <c r="F53" s="9" t="s">
        <v>20</v>
      </c>
      <c r="G53" s="9" t="s">
        <v>21</v>
      </c>
      <c r="H53" s="9">
        <v>5.0</v>
      </c>
      <c r="I53" s="9">
        <v>5.0</v>
      </c>
      <c r="J53" s="9">
        <v>5.0</v>
      </c>
      <c r="K53" s="9">
        <v>5.0</v>
      </c>
      <c r="L53" s="9">
        <v>5.0</v>
      </c>
      <c r="M53" s="9">
        <v>5.0</v>
      </c>
      <c r="N53" s="9">
        <v>5.0</v>
      </c>
      <c r="O53" s="9">
        <v>5.0</v>
      </c>
      <c r="P53" s="9">
        <v>10.0</v>
      </c>
    </row>
    <row r="54" ht="22.5" customHeight="1">
      <c r="A54" s="8">
        <v>46171.383748356486</v>
      </c>
      <c r="B54" s="9" t="s">
        <v>18</v>
      </c>
      <c r="C54" s="10">
        <v>46125.0</v>
      </c>
      <c r="D54" s="9" t="s">
        <v>19</v>
      </c>
      <c r="F54" s="9" t="s">
        <v>20</v>
      </c>
      <c r="G54" s="9" t="s">
        <v>21</v>
      </c>
      <c r="H54" s="9">
        <v>5.0</v>
      </c>
      <c r="I54" s="9">
        <v>5.0</v>
      </c>
      <c r="J54" s="9">
        <v>5.0</v>
      </c>
      <c r="K54" s="9">
        <v>5.0</v>
      </c>
      <c r="L54" s="9">
        <v>5.0</v>
      </c>
      <c r="M54" s="9">
        <v>5.0</v>
      </c>
      <c r="N54" s="9">
        <v>5.0</v>
      </c>
      <c r="O54" s="9">
        <v>5.0</v>
      </c>
      <c r="P54" s="9">
        <v>10.0</v>
      </c>
    </row>
    <row r="55" ht="22.5" customHeight="1">
      <c r="A55" s="8">
        <v>46171.38536384259</v>
      </c>
      <c r="B55" s="9" t="s">
        <v>18</v>
      </c>
      <c r="C55" s="10">
        <v>46127.0</v>
      </c>
      <c r="D55" s="9" t="s">
        <v>19</v>
      </c>
      <c r="F55" s="9" t="s">
        <v>20</v>
      </c>
      <c r="G55" s="9" t="s">
        <v>21</v>
      </c>
      <c r="H55" s="9">
        <v>5.0</v>
      </c>
      <c r="I55" s="9">
        <v>5.0</v>
      </c>
      <c r="J55" s="9">
        <v>5.0</v>
      </c>
      <c r="K55" s="9">
        <v>5.0</v>
      </c>
      <c r="L55" s="9">
        <v>5.0</v>
      </c>
      <c r="M55" s="9">
        <v>5.0</v>
      </c>
      <c r="N55" s="9">
        <v>5.0</v>
      </c>
      <c r="O55" s="9">
        <v>5.0</v>
      </c>
      <c r="P55" s="9">
        <v>8.0</v>
      </c>
    </row>
    <row r="56" ht="22.5" customHeight="1">
      <c r="A56" s="8">
        <v>46171.38594857639</v>
      </c>
      <c r="B56" s="9" t="s">
        <v>18</v>
      </c>
      <c r="C56" s="10">
        <v>46127.0</v>
      </c>
      <c r="D56" s="9" t="s">
        <v>19</v>
      </c>
      <c r="F56" s="9" t="s">
        <v>20</v>
      </c>
      <c r="G56" s="9" t="s">
        <v>21</v>
      </c>
      <c r="H56" s="9">
        <v>5.0</v>
      </c>
      <c r="I56" s="9">
        <v>5.0</v>
      </c>
      <c r="J56" s="9">
        <v>5.0</v>
      </c>
      <c r="K56" s="9">
        <v>4.0</v>
      </c>
      <c r="L56" s="9">
        <v>4.0</v>
      </c>
      <c r="M56" s="9">
        <v>4.0</v>
      </c>
      <c r="N56" s="9">
        <v>4.0</v>
      </c>
      <c r="O56" s="9">
        <v>4.0</v>
      </c>
      <c r="P56" s="9">
        <v>8.0</v>
      </c>
    </row>
    <row r="57" ht="22.5" customHeight="1">
      <c r="A57" s="8">
        <v>46171.3867594676</v>
      </c>
      <c r="B57" s="9" t="s">
        <v>18</v>
      </c>
      <c r="C57" s="10">
        <v>46127.0</v>
      </c>
      <c r="D57" s="9" t="s">
        <v>19</v>
      </c>
      <c r="E57" s="9" t="s">
        <v>50</v>
      </c>
      <c r="F57" s="9" t="s">
        <v>23</v>
      </c>
      <c r="G57" s="9" t="s">
        <v>21</v>
      </c>
      <c r="H57" s="9">
        <v>5.0</v>
      </c>
      <c r="I57" s="9">
        <v>4.0</v>
      </c>
      <c r="J57" s="9">
        <v>3.0</v>
      </c>
      <c r="K57" s="9">
        <v>4.0</v>
      </c>
      <c r="L57" s="9">
        <v>2.0</v>
      </c>
      <c r="M57" s="9">
        <v>4.0</v>
      </c>
      <c r="N57" s="9">
        <v>3.0</v>
      </c>
      <c r="O57" s="9">
        <v>5.0</v>
      </c>
      <c r="P57" s="9">
        <v>7.0</v>
      </c>
    </row>
    <row r="58" ht="22.5" customHeight="1">
      <c r="A58" s="8">
        <v>46171.38814106482</v>
      </c>
      <c r="B58" s="9" t="s">
        <v>18</v>
      </c>
      <c r="C58" s="10">
        <v>46128.0</v>
      </c>
      <c r="D58" s="9" t="s">
        <v>19</v>
      </c>
      <c r="F58" s="9" t="s">
        <v>23</v>
      </c>
      <c r="G58" s="9" t="s">
        <v>21</v>
      </c>
      <c r="H58" s="9">
        <v>4.0</v>
      </c>
      <c r="I58" s="9">
        <v>4.0</v>
      </c>
      <c r="J58" s="9">
        <v>5.0</v>
      </c>
      <c r="K58" s="9">
        <v>5.0</v>
      </c>
      <c r="L58" s="9">
        <v>4.0</v>
      </c>
      <c r="M58" s="9">
        <v>5.0</v>
      </c>
      <c r="N58" s="9">
        <v>5.0</v>
      </c>
      <c r="O58" s="9">
        <v>4.0</v>
      </c>
      <c r="P58" s="9">
        <v>8.0</v>
      </c>
    </row>
    <row r="59" ht="22.5" customHeight="1">
      <c r="A59" s="8">
        <v>46171.38888916667</v>
      </c>
      <c r="B59" s="9" t="s">
        <v>18</v>
      </c>
      <c r="C59" s="10">
        <v>46128.0</v>
      </c>
      <c r="D59" s="9" t="s">
        <v>19</v>
      </c>
      <c r="F59" s="9" t="s">
        <v>23</v>
      </c>
      <c r="G59" s="9" t="s">
        <v>51</v>
      </c>
      <c r="H59" s="9">
        <v>5.0</v>
      </c>
      <c r="I59" s="9">
        <v>5.0</v>
      </c>
      <c r="J59" s="9">
        <v>4.0</v>
      </c>
      <c r="K59" s="9">
        <v>5.0</v>
      </c>
      <c r="L59" s="9">
        <v>5.0</v>
      </c>
      <c r="M59" s="9">
        <v>5.0</v>
      </c>
      <c r="N59" s="9">
        <v>5.0</v>
      </c>
      <c r="O59" s="9">
        <v>5.0</v>
      </c>
      <c r="P59" s="9">
        <v>9.0</v>
      </c>
      <c r="Q59" s="9" t="s">
        <v>52</v>
      </c>
    </row>
    <row r="60" ht="22.5" customHeight="1">
      <c r="A60" s="8">
        <v>46171.390398993055</v>
      </c>
      <c r="B60" s="9" t="s">
        <v>18</v>
      </c>
      <c r="C60" s="10">
        <v>46128.0</v>
      </c>
      <c r="D60" s="9" t="s">
        <v>19</v>
      </c>
      <c r="F60" s="9" t="s">
        <v>20</v>
      </c>
      <c r="G60" s="9" t="s">
        <v>21</v>
      </c>
      <c r="H60" s="9">
        <v>5.0</v>
      </c>
      <c r="I60" s="9">
        <v>5.0</v>
      </c>
      <c r="J60" s="9">
        <v>5.0</v>
      </c>
      <c r="K60" s="9">
        <v>5.0</v>
      </c>
      <c r="L60" s="9">
        <v>5.0</v>
      </c>
      <c r="M60" s="9">
        <v>5.0</v>
      </c>
      <c r="N60" s="9">
        <v>5.0</v>
      </c>
      <c r="O60" s="9">
        <v>5.0</v>
      </c>
      <c r="P60" s="9">
        <v>10.0</v>
      </c>
    </row>
    <row r="61" ht="22.5" customHeight="1">
      <c r="A61" s="8">
        <v>46171.39090788194</v>
      </c>
      <c r="B61" s="9" t="s">
        <v>18</v>
      </c>
      <c r="C61" s="10">
        <v>46132.0</v>
      </c>
      <c r="D61" s="9" t="s">
        <v>19</v>
      </c>
      <c r="F61" s="9" t="s">
        <v>23</v>
      </c>
      <c r="G61" s="9" t="s">
        <v>21</v>
      </c>
      <c r="H61" s="9">
        <v>5.0</v>
      </c>
      <c r="I61" s="9">
        <v>5.0</v>
      </c>
      <c r="J61" s="9">
        <v>5.0</v>
      </c>
      <c r="K61" s="9">
        <v>5.0</v>
      </c>
      <c r="M61" s="9">
        <v>5.0</v>
      </c>
      <c r="N61" s="9">
        <v>5.0</v>
      </c>
      <c r="O61" s="9">
        <v>5.0</v>
      </c>
      <c r="P61" s="9">
        <v>10.0</v>
      </c>
    </row>
    <row r="62" ht="22.5" customHeight="1">
      <c r="A62" s="8">
        <v>46171.39146092592</v>
      </c>
      <c r="B62" s="9" t="s">
        <v>18</v>
      </c>
      <c r="C62" s="10">
        <v>46132.0</v>
      </c>
      <c r="D62" s="9" t="s">
        <v>19</v>
      </c>
      <c r="F62" s="9" t="s">
        <v>20</v>
      </c>
      <c r="G62" s="9" t="s">
        <v>21</v>
      </c>
      <c r="H62" s="9">
        <v>5.0</v>
      </c>
      <c r="I62" s="9">
        <v>5.0</v>
      </c>
      <c r="J62" s="9">
        <v>5.0</v>
      </c>
      <c r="K62" s="9">
        <v>5.0</v>
      </c>
      <c r="L62" s="9">
        <v>5.0</v>
      </c>
      <c r="M62" s="9">
        <v>5.0</v>
      </c>
      <c r="N62" s="9">
        <v>5.0</v>
      </c>
      <c r="O62" s="9">
        <v>5.0</v>
      </c>
      <c r="P62" s="9">
        <v>10.0</v>
      </c>
    </row>
    <row r="63" ht="22.5" customHeight="1">
      <c r="A63" s="8">
        <v>46171.39191597222</v>
      </c>
      <c r="B63" s="9" t="s">
        <v>18</v>
      </c>
      <c r="C63" s="10">
        <v>46134.0</v>
      </c>
      <c r="D63" s="9" t="s">
        <v>19</v>
      </c>
      <c r="F63" s="9" t="s">
        <v>20</v>
      </c>
      <c r="G63" s="9" t="s">
        <v>21</v>
      </c>
      <c r="H63" s="9">
        <v>5.0</v>
      </c>
      <c r="I63" s="9">
        <v>5.0</v>
      </c>
      <c r="J63" s="9">
        <v>5.0</v>
      </c>
      <c r="K63" s="9">
        <v>5.0</v>
      </c>
      <c r="L63" s="9">
        <v>5.0</v>
      </c>
      <c r="M63" s="9">
        <v>5.0</v>
      </c>
      <c r="N63" s="9">
        <v>5.0</v>
      </c>
      <c r="O63" s="9">
        <v>5.0</v>
      </c>
      <c r="P63" s="9">
        <v>10.0</v>
      </c>
    </row>
    <row r="64" ht="22.5" customHeight="1">
      <c r="A64" s="8">
        <v>46171.39243039352</v>
      </c>
      <c r="B64" s="9" t="s">
        <v>18</v>
      </c>
      <c r="C64" s="10">
        <v>46136.0</v>
      </c>
      <c r="D64" s="9" t="s">
        <v>19</v>
      </c>
      <c r="E64" s="9" t="s">
        <v>29</v>
      </c>
      <c r="F64" s="9" t="s">
        <v>20</v>
      </c>
      <c r="G64" s="9" t="s">
        <v>21</v>
      </c>
      <c r="H64" s="9">
        <v>5.0</v>
      </c>
      <c r="I64" s="9">
        <v>5.0</v>
      </c>
      <c r="J64" s="9">
        <v>5.0</v>
      </c>
      <c r="K64" s="9">
        <v>5.0</v>
      </c>
      <c r="M64" s="9">
        <v>5.0</v>
      </c>
      <c r="N64" s="9">
        <v>5.0</v>
      </c>
      <c r="O64" s="9">
        <v>5.0</v>
      </c>
      <c r="P64" s="9">
        <v>8.0</v>
      </c>
    </row>
    <row r="65" ht="22.5" customHeight="1">
      <c r="A65" s="8">
        <v>46171.393015752314</v>
      </c>
      <c r="B65" s="9" t="s">
        <v>18</v>
      </c>
      <c r="C65" s="10">
        <v>46136.0</v>
      </c>
      <c r="D65" s="9" t="s">
        <v>19</v>
      </c>
      <c r="F65" s="9" t="s">
        <v>20</v>
      </c>
      <c r="G65" s="9" t="s">
        <v>21</v>
      </c>
      <c r="H65" s="9">
        <v>5.0</v>
      </c>
      <c r="I65" s="9">
        <v>5.0</v>
      </c>
      <c r="J65" s="9">
        <v>5.0</v>
      </c>
      <c r="K65" s="9">
        <v>5.0</v>
      </c>
      <c r="M65" s="9">
        <v>5.0</v>
      </c>
      <c r="N65" s="9">
        <v>5.0</v>
      </c>
      <c r="O65" s="9">
        <v>5.0</v>
      </c>
      <c r="P65" s="9">
        <v>9.0</v>
      </c>
    </row>
    <row r="66" ht="22.5" customHeight="1">
      <c r="A66" s="8">
        <v>46171.393475034725</v>
      </c>
      <c r="B66" s="9" t="s">
        <v>18</v>
      </c>
      <c r="C66" s="10">
        <v>46139.0</v>
      </c>
      <c r="D66" s="9" t="s">
        <v>19</v>
      </c>
      <c r="F66" s="9" t="s">
        <v>23</v>
      </c>
      <c r="G66" s="9" t="s">
        <v>21</v>
      </c>
      <c r="H66" s="9">
        <v>5.0</v>
      </c>
      <c r="I66" s="9">
        <v>5.0</v>
      </c>
      <c r="J66" s="9">
        <v>5.0</v>
      </c>
      <c r="K66" s="9">
        <v>5.0</v>
      </c>
      <c r="L66" s="9">
        <v>5.0</v>
      </c>
      <c r="M66" s="9">
        <v>5.0</v>
      </c>
      <c r="N66" s="9">
        <v>5.0</v>
      </c>
      <c r="O66" s="9">
        <v>5.0</v>
      </c>
      <c r="P66" s="9">
        <v>10.0</v>
      </c>
    </row>
    <row r="67" ht="22.5" customHeight="1">
      <c r="A67" s="8">
        <v>46171.39396915509</v>
      </c>
      <c r="B67" s="9" t="s">
        <v>18</v>
      </c>
      <c r="C67" s="10">
        <v>46140.0</v>
      </c>
      <c r="D67" s="9" t="s">
        <v>19</v>
      </c>
      <c r="F67" s="9" t="s">
        <v>23</v>
      </c>
      <c r="G67" s="9" t="s">
        <v>21</v>
      </c>
      <c r="H67" s="9">
        <v>5.0</v>
      </c>
      <c r="I67" s="9">
        <v>5.0</v>
      </c>
      <c r="J67" s="9">
        <v>5.0</v>
      </c>
      <c r="K67" s="9">
        <v>5.0</v>
      </c>
      <c r="L67" s="9">
        <v>5.0</v>
      </c>
      <c r="M67" s="9">
        <v>5.0</v>
      </c>
      <c r="O67" s="9">
        <v>5.0</v>
      </c>
      <c r="P67" s="9">
        <v>10.0</v>
      </c>
    </row>
    <row r="68" ht="22.5" customHeight="1">
      <c r="A68" s="8">
        <v>46171.394495995366</v>
      </c>
      <c r="B68" s="9" t="s">
        <v>18</v>
      </c>
      <c r="C68" s="10">
        <v>46142.0</v>
      </c>
      <c r="D68" s="9" t="s">
        <v>19</v>
      </c>
      <c r="F68" s="9" t="s">
        <v>20</v>
      </c>
      <c r="G68" s="9" t="s">
        <v>21</v>
      </c>
      <c r="H68" s="9">
        <v>5.0</v>
      </c>
      <c r="I68" s="9">
        <v>5.0</v>
      </c>
      <c r="J68" s="9">
        <v>5.0</v>
      </c>
      <c r="K68" s="9">
        <v>5.0</v>
      </c>
      <c r="M68" s="9">
        <v>5.0</v>
      </c>
      <c r="N68" s="9">
        <v>5.0</v>
      </c>
      <c r="O68" s="9">
        <v>5.0</v>
      </c>
      <c r="P68" s="9">
        <v>10.0</v>
      </c>
    </row>
    <row r="69" ht="22.5" customHeight="1">
      <c r="A69" s="8">
        <v>46171.395084375</v>
      </c>
      <c r="B69" s="9" t="s">
        <v>18</v>
      </c>
      <c r="C69" s="10">
        <v>46118.0</v>
      </c>
      <c r="D69" s="9" t="s">
        <v>36</v>
      </c>
      <c r="F69" s="9" t="s">
        <v>20</v>
      </c>
      <c r="G69" s="9" t="s">
        <v>21</v>
      </c>
      <c r="H69" s="9">
        <v>4.0</v>
      </c>
      <c r="I69" s="9">
        <v>4.0</v>
      </c>
      <c r="J69" s="9">
        <v>4.0</v>
      </c>
      <c r="K69" s="9">
        <v>4.0</v>
      </c>
      <c r="L69" s="9">
        <v>4.0</v>
      </c>
      <c r="M69" s="9">
        <v>4.0</v>
      </c>
      <c r="N69" s="9">
        <v>4.0</v>
      </c>
      <c r="O69" s="9">
        <v>4.0</v>
      </c>
      <c r="P69" s="9">
        <v>8.0</v>
      </c>
    </row>
    <row r="70" ht="22.5" customHeight="1">
      <c r="A70" s="8">
        <v>46171.39625987269</v>
      </c>
      <c r="B70" s="9" t="s">
        <v>18</v>
      </c>
      <c r="C70" s="10">
        <v>46132.0</v>
      </c>
      <c r="D70" s="9" t="s">
        <v>36</v>
      </c>
      <c r="F70" s="9" t="s">
        <v>20</v>
      </c>
      <c r="G70" s="9" t="s">
        <v>21</v>
      </c>
      <c r="H70" s="9">
        <v>5.0</v>
      </c>
      <c r="I70" s="9">
        <v>5.0</v>
      </c>
      <c r="J70" s="9">
        <v>5.0</v>
      </c>
      <c r="K70" s="9">
        <v>5.0</v>
      </c>
      <c r="M70" s="9">
        <v>5.0</v>
      </c>
      <c r="N70" s="9">
        <v>5.0</v>
      </c>
      <c r="O70" s="9">
        <v>5.0</v>
      </c>
      <c r="P70" s="9">
        <v>10.0</v>
      </c>
    </row>
    <row r="71" ht="22.5" customHeight="1">
      <c r="A71" s="8">
        <v>46171.396714780094</v>
      </c>
      <c r="B71" s="9" t="s">
        <v>18</v>
      </c>
      <c r="C71" s="10">
        <v>46120.0</v>
      </c>
      <c r="D71" s="9" t="s">
        <v>26</v>
      </c>
      <c r="F71" s="9" t="s">
        <v>20</v>
      </c>
      <c r="G71" s="9" t="s">
        <v>21</v>
      </c>
      <c r="H71" s="9">
        <v>5.0</v>
      </c>
      <c r="I71" s="9">
        <v>5.0</v>
      </c>
      <c r="J71" s="9">
        <v>5.0</v>
      </c>
      <c r="K71" s="9">
        <v>5.0</v>
      </c>
      <c r="M71" s="9">
        <v>5.0</v>
      </c>
      <c r="N71" s="9">
        <v>5.0</v>
      </c>
      <c r="O71" s="9">
        <v>5.0</v>
      </c>
      <c r="P71" s="9">
        <v>10.0</v>
      </c>
    </row>
    <row r="72" ht="22.5" customHeight="1">
      <c r="A72" s="8">
        <v>46171.397150000004</v>
      </c>
      <c r="B72" s="9" t="s">
        <v>18</v>
      </c>
      <c r="C72" s="10">
        <v>46133.0</v>
      </c>
      <c r="D72" s="9" t="s">
        <v>26</v>
      </c>
      <c r="F72" s="9" t="s">
        <v>20</v>
      </c>
      <c r="G72" s="9" t="s">
        <v>21</v>
      </c>
      <c r="H72" s="9">
        <v>5.0</v>
      </c>
      <c r="I72" s="9">
        <v>5.0</v>
      </c>
      <c r="J72" s="9">
        <v>5.0</v>
      </c>
      <c r="K72" s="9">
        <v>5.0</v>
      </c>
      <c r="M72" s="9">
        <v>5.0</v>
      </c>
      <c r="N72" s="9">
        <v>5.0</v>
      </c>
      <c r="O72" s="9">
        <v>5.0</v>
      </c>
      <c r="P72" s="9">
        <v>10.0</v>
      </c>
    </row>
    <row r="73" ht="22.5" customHeight="1">
      <c r="A73" s="8">
        <v>46171.397664421296</v>
      </c>
      <c r="B73" s="9" t="s">
        <v>18</v>
      </c>
      <c r="C73" s="10">
        <v>46118.0</v>
      </c>
      <c r="D73" s="9" t="s">
        <v>53</v>
      </c>
      <c r="F73" s="9" t="s">
        <v>23</v>
      </c>
      <c r="G73" s="9" t="s">
        <v>21</v>
      </c>
      <c r="H73" s="9">
        <v>5.0</v>
      </c>
      <c r="I73" s="9">
        <v>5.0</v>
      </c>
      <c r="J73" s="9">
        <v>5.0</v>
      </c>
      <c r="K73" s="9">
        <v>5.0</v>
      </c>
      <c r="M73" s="9">
        <v>5.0</v>
      </c>
      <c r="N73" s="9">
        <v>5.0</v>
      </c>
      <c r="O73" s="9">
        <v>5.0</v>
      </c>
      <c r="P73" s="9">
        <v>9.0</v>
      </c>
    </row>
    <row r="74" ht="22.5" customHeight="1">
      <c r="A74" s="8">
        <v>46171.39862622685</v>
      </c>
      <c r="B74" s="9" t="s">
        <v>18</v>
      </c>
      <c r="C74" s="10">
        <v>46133.0</v>
      </c>
      <c r="D74" s="9" t="s">
        <v>26</v>
      </c>
      <c r="F74" s="9" t="s">
        <v>20</v>
      </c>
      <c r="G74" s="9" t="s">
        <v>21</v>
      </c>
      <c r="H74" s="9">
        <v>5.0</v>
      </c>
      <c r="I74" s="9">
        <v>5.0</v>
      </c>
      <c r="J74" s="9">
        <v>5.0</v>
      </c>
      <c r="K74" s="9">
        <v>5.0</v>
      </c>
      <c r="L74" s="9">
        <v>4.0</v>
      </c>
      <c r="M74" s="9">
        <v>5.0</v>
      </c>
      <c r="N74" s="9">
        <v>5.0</v>
      </c>
      <c r="O74" s="9">
        <v>5.0</v>
      </c>
      <c r="P74" s="9">
        <v>10.0</v>
      </c>
      <c r="Q74" s="9" t="s">
        <v>54</v>
      </c>
    </row>
    <row r="75" ht="22.5" customHeight="1">
      <c r="A75" s="8">
        <v>46176.57894555556</v>
      </c>
      <c r="B75" s="9" t="s">
        <v>18</v>
      </c>
      <c r="C75" s="10">
        <v>46146.0</v>
      </c>
      <c r="D75" s="9" t="s">
        <v>19</v>
      </c>
      <c r="F75" s="9" t="s">
        <v>20</v>
      </c>
      <c r="G75" s="9" t="s">
        <v>21</v>
      </c>
      <c r="H75" s="9">
        <v>4.0</v>
      </c>
      <c r="I75" s="9">
        <v>4.0</v>
      </c>
      <c r="J75" s="9">
        <v>4.0</v>
      </c>
      <c r="K75" s="9">
        <v>4.0</v>
      </c>
      <c r="L75" s="9">
        <v>4.0</v>
      </c>
      <c r="M75" s="9">
        <v>4.0</v>
      </c>
      <c r="N75" s="9">
        <v>4.0</v>
      </c>
      <c r="O75" s="9">
        <v>4.0</v>
      </c>
      <c r="P75" s="9">
        <v>9.0</v>
      </c>
    </row>
    <row r="76" ht="22.5" customHeight="1">
      <c r="A76" s="8">
        <v>46176.57944627314</v>
      </c>
      <c r="B76" s="9" t="s">
        <v>18</v>
      </c>
      <c r="C76" s="10">
        <v>46146.0</v>
      </c>
      <c r="D76" s="9" t="s">
        <v>19</v>
      </c>
      <c r="F76" s="9" t="s">
        <v>20</v>
      </c>
      <c r="G76" s="9" t="s">
        <v>21</v>
      </c>
      <c r="H76" s="9">
        <v>5.0</v>
      </c>
      <c r="I76" s="9">
        <v>5.0</v>
      </c>
      <c r="J76" s="9">
        <v>5.0</v>
      </c>
      <c r="K76" s="9">
        <v>5.0</v>
      </c>
      <c r="L76" s="9">
        <v>5.0</v>
      </c>
      <c r="M76" s="9">
        <v>5.0</v>
      </c>
      <c r="N76" s="9">
        <v>5.0</v>
      </c>
      <c r="O76" s="9">
        <v>5.0</v>
      </c>
      <c r="P76" s="9">
        <v>10.0</v>
      </c>
    </row>
    <row r="77" ht="22.5" customHeight="1">
      <c r="A77" s="8">
        <v>46176.58053341435</v>
      </c>
      <c r="B77" s="9" t="s">
        <v>18</v>
      </c>
      <c r="C77" s="10">
        <v>46146.0</v>
      </c>
      <c r="D77" s="9" t="s">
        <v>19</v>
      </c>
      <c r="E77" s="9" t="s">
        <v>55</v>
      </c>
      <c r="F77" s="9" t="s">
        <v>23</v>
      </c>
      <c r="G77" s="9" t="s">
        <v>21</v>
      </c>
      <c r="H77" s="9">
        <v>5.0</v>
      </c>
      <c r="I77" s="9">
        <v>5.0</v>
      </c>
      <c r="J77" s="9">
        <v>5.0</v>
      </c>
      <c r="K77" s="9">
        <v>5.0</v>
      </c>
      <c r="L77" s="9">
        <v>5.0</v>
      </c>
      <c r="M77" s="9">
        <v>5.0</v>
      </c>
      <c r="N77" s="9">
        <v>5.0</v>
      </c>
      <c r="O77" s="9">
        <v>5.0</v>
      </c>
      <c r="P77" s="9">
        <v>10.0</v>
      </c>
    </row>
    <row r="78" ht="22.5" customHeight="1">
      <c r="A78" s="8">
        <v>46176.58151300926</v>
      </c>
      <c r="B78" s="9" t="s">
        <v>18</v>
      </c>
      <c r="C78" s="10">
        <v>46146.0</v>
      </c>
      <c r="D78" s="9" t="s">
        <v>19</v>
      </c>
      <c r="F78" s="9" t="s">
        <v>23</v>
      </c>
      <c r="G78" s="9" t="s">
        <v>21</v>
      </c>
      <c r="H78" s="9">
        <v>5.0</v>
      </c>
      <c r="I78" s="9">
        <v>5.0</v>
      </c>
      <c r="J78" s="9">
        <v>5.0</v>
      </c>
      <c r="K78" s="9">
        <v>5.0</v>
      </c>
      <c r="L78" s="9">
        <v>5.0</v>
      </c>
      <c r="M78" s="9">
        <v>5.0</v>
      </c>
      <c r="N78" s="9">
        <v>5.0</v>
      </c>
      <c r="O78" s="9">
        <v>5.0</v>
      </c>
      <c r="P78" s="9">
        <v>9.0</v>
      </c>
    </row>
    <row r="79" ht="22.5" customHeight="1">
      <c r="A79" s="8">
        <v>46176.58200239584</v>
      </c>
      <c r="B79" s="9" t="s">
        <v>18</v>
      </c>
      <c r="C79" s="10">
        <v>46147.0</v>
      </c>
      <c r="D79" s="9" t="s">
        <v>19</v>
      </c>
      <c r="F79" s="9" t="s">
        <v>23</v>
      </c>
      <c r="G79" s="9" t="s">
        <v>21</v>
      </c>
      <c r="H79" s="9">
        <v>5.0</v>
      </c>
      <c r="I79" s="9">
        <v>5.0</v>
      </c>
      <c r="J79" s="9">
        <v>5.0</v>
      </c>
      <c r="K79" s="9">
        <v>5.0</v>
      </c>
      <c r="L79" s="9">
        <v>5.0</v>
      </c>
      <c r="M79" s="9">
        <v>5.0</v>
      </c>
      <c r="N79" s="9">
        <v>5.0</v>
      </c>
      <c r="O79" s="9">
        <v>5.0</v>
      </c>
      <c r="P79" s="9">
        <v>9.0</v>
      </c>
    </row>
    <row r="80" ht="22.5" customHeight="1">
      <c r="A80" s="8">
        <v>46176.58245126157</v>
      </c>
      <c r="B80" s="9" t="s">
        <v>18</v>
      </c>
      <c r="C80" s="10">
        <v>46147.0</v>
      </c>
      <c r="D80" s="9" t="s">
        <v>19</v>
      </c>
      <c r="F80" s="9" t="s">
        <v>23</v>
      </c>
      <c r="G80" s="9" t="s">
        <v>21</v>
      </c>
      <c r="H80" s="9">
        <v>5.0</v>
      </c>
      <c r="I80" s="9">
        <v>5.0</v>
      </c>
      <c r="J80" s="9">
        <v>5.0</v>
      </c>
      <c r="K80" s="9">
        <v>5.0</v>
      </c>
      <c r="L80" s="9">
        <v>5.0</v>
      </c>
      <c r="M80" s="9">
        <v>5.0</v>
      </c>
      <c r="N80" s="9">
        <v>5.0</v>
      </c>
      <c r="O80" s="9">
        <v>5.0</v>
      </c>
      <c r="P80" s="9">
        <v>10.0</v>
      </c>
    </row>
    <row r="81" ht="22.5" customHeight="1">
      <c r="A81" s="8">
        <v>46176.58318572916</v>
      </c>
      <c r="B81" s="9" t="s">
        <v>18</v>
      </c>
      <c r="C81" s="10">
        <v>46153.0</v>
      </c>
      <c r="D81" s="9" t="s">
        <v>19</v>
      </c>
      <c r="F81" s="9" t="s">
        <v>20</v>
      </c>
      <c r="G81" s="9" t="s">
        <v>21</v>
      </c>
      <c r="H81" s="9">
        <v>5.0</v>
      </c>
      <c r="I81" s="9">
        <v>5.0</v>
      </c>
      <c r="J81" s="9">
        <v>5.0</v>
      </c>
      <c r="K81" s="9">
        <v>5.0</v>
      </c>
      <c r="L81" s="9">
        <v>5.0</v>
      </c>
      <c r="M81" s="9">
        <v>5.0</v>
      </c>
      <c r="N81" s="9">
        <v>5.0</v>
      </c>
      <c r="O81" s="9">
        <v>5.0</v>
      </c>
      <c r="P81" s="9">
        <v>9.0</v>
      </c>
    </row>
    <row r="82" ht="22.5" customHeight="1">
      <c r="A82" s="8">
        <v>46176.58380216435</v>
      </c>
      <c r="B82" s="9" t="s">
        <v>18</v>
      </c>
      <c r="C82" s="10">
        <v>46154.0</v>
      </c>
      <c r="D82" s="9" t="s">
        <v>19</v>
      </c>
      <c r="F82" s="9" t="s">
        <v>23</v>
      </c>
      <c r="G82" s="9" t="s">
        <v>21</v>
      </c>
      <c r="H82" s="9">
        <v>5.0</v>
      </c>
      <c r="I82" s="9">
        <v>5.0</v>
      </c>
      <c r="J82" s="9">
        <v>5.0</v>
      </c>
      <c r="K82" s="9">
        <v>5.0</v>
      </c>
      <c r="M82" s="9">
        <v>5.0</v>
      </c>
      <c r="N82" s="9">
        <v>5.0</v>
      </c>
      <c r="O82" s="9">
        <v>5.0</v>
      </c>
      <c r="P82" s="9">
        <v>10.0</v>
      </c>
    </row>
    <row r="83" ht="22.5" customHeight="1">
      <c r="A83" s="8">
        <v>46176.58425202547</v>
      </c>
      <c r="B83" s="9" t="s">
        <v>18</v>
      </c>
      <c r="C83" s="10">
        <v>46161.0</v>
      </c>
      <c r="D83" s="9" t="s">
        <v>19</v>
      </c>
      <c r="F83" s="9" t="s">
        <v>20</v>
      </c>
      <c r="G83" s="9" t="s">
        <v>21</v>
      </c>
      <c r="H83" s="9">
        <v>5.0</v>
      </c>
      <c r="I83" s="9">
        <v>5.0</v>
      </c>
      <c r="J83" s="9">
        <v>5.0</v>
      </c>
      <c r="K83" s="9">
        <v>5.0</v>
      </c>
      <c r="L83" s="9">
        <v>5.0</v>
      </c>
      <c r="M83" s="9">
        <v>5.0</v>
      </c>
      <c r="N83" s="9">
        <v>5.0</v>
      </c>
      <c r="O83" s="9">
        <v>5.0</v>
      </c>
      <c r="P83" s="9">
        <v>10.0</v>
      </c>
    </row>
    <row r="84" ht="22.5" customHeight="1">
      <c r="A84" s="8">
        <v>46176.584725810186</v>
      </c>
      <c r="B84" s="9" t="s">
        <v>18</v>
      </c>
      <c r="C84" s="10">
        <v>46161.0</v>
      </c>
      <c r="D84" s="9" t="s">
        <v>19</v>
      </c>
      <c r="F84" s="9" t="s">
        <v>23</v>
      </c>
      <c r="G84" s="9" t="s">
        <v>21</v>
      </c>
      <c r="H84" s="9">
        <v>5.0</v>
      </c>
      <c r="I84" s="9">
        <v>5.0</v>
      </c>
      <c r="J84" s="9">
        <v>5.0</v>
      </c>
      <c r="K84" s="9">
        <v>5.0</v>
      </c>
      <c r="L84" s="9">
        <v>5.0</v>
      </c>
      <c r="M84" s="9">
        <v>5.0</v>
      </c>
      <c r="N84" s="9">
        <v>5.0</v>
      </c>
      <c r="O84" s="9">
        <v>5.0</v>
      </c>
      <c r="P84" s="9">
        <v>10.0</v>
      </c>
    </row>
    <row r="85" ht="22.5" customHeight="1">
      <c r="A85" s="8">
        <v>46176.585237858795</v>
      </c>
      <c r="B85" s="9" t="s">
        <v>18</v>
      </c>
      <c r="C85" s="10">
        <v>46162.0</v>
      </c>
      <c r="D85" s="9" t="s">
        <v>19</v>
      </c>
      <c r="F85" s="9" t="s">
        <v>20</v>
      </c>
      <c r="G85" s="9" t="s">
        <v>21</v>
      </c>
      <c r="H85" s="9">
        <v>5.0</v>
      </c>
      <c r="I85" s="9">
        <v>5.0</v>
      </c>
      <c r="J85" s="9">
        <v>5.0</v>
      </c>
      <c r="K85" s="9">
        <v>5.0</v>
      </c>
      <c r="M85" s="9">
        <v>5.0</v>
      </c>
      <c r="N85" s="9">
        <v>5.0</v>
      </c>
      <c r="O85" s="9">
        <v>5.0</v>
      </c>
      <c r="P85" s="9">
        <v>10.0</v>
      </c>
    </row>
    <row r="86" ht="22.5" customHeight="1">
      <c r="A86" s="8">
        <v>46176.58612730324</v>
      </c>
      <c r="B86" s="9" t="s">
        <v>18</v>
      </c>
      <c r="C86" s="10">
        <v>46164.0</v>
      </c>
      <c r="D86" s="9" t="s">
        <v>19</v>
      </c>
      <c r="E86" s="9" t="s">
        <v>56</v>
      </c>
      <c r="F86" s="9" t="s">
        <v>20</v>
      </c>
      <c r="G86" s="9" t="s">
        <v>21</v>
      </c>
      <c r="H86" s="9">
        <v>5.0</v>
      </c>
      <c r="I86" s="9">
        <v>5.0</v>
      </c>
      <c r="J86" s="9">
        <v>5.0</v>
      </c>
      <c r="K86" s="9">
        <v>5.0</v>
      </c>
      <c r="L86" s="9">
        <v>5.0</v>
      </c>
      <c r="M86" s="9">
        <v>5.0</v>
      </c>
      <c r="N86" s="9">
        <v>5.0</v>
      </c>
      <c r="O86" s="9">
        <v>5.0</v>
      </c>
      <c r="P86" s="9">
        <v>9.0</v>
      </c>
    </row>
    <row r="87" ht="22.5" customHeight="1">
      <c r="A87" s="8">
        <v>46176.58662616898</v>
      </c>
      <c r="B87" s="9" t="s">
        <v>18</v>
      </c>
      <c r="C87" s="10">
        <v>46164.0</v>
      </c>
      <c r="D87" s="9" t="s">
        <v>19</v>
      </c>
      <c r="F87" s="9" t="s">
        <v>20</v>
      </c>
      <c r="G87" s="9" t="s">
        <v>21</v>
      </c>
      <c r="H87" s="9">
        <v>5.0</v>
      </c>
      <c r="I87" s="9">
        <v>5.0</v>
      </c>
      <c r="J87" s="9">
        <v>5.0</v>
      </c>
      <c r="K87" s="9">
        <v>5.0</v>
      </c>
      <c r="M87" s="9">
        <v>5.0</v>
      </c>
      <c r="N87" s="9">
        <v>5.0</v>
      </c>
      <c r="O87" s="9">
        <v>5.0</v>
      </c>
      <c r="P87" s="9">
        <v>10.0</v>
      </c>
    </row>
    <row r="88" ht="22.5" customHeight="1">
      <c r="A88" s="8">
        <v>46176.58707930555</v>
      </c>
      <c r="B88" s="9" t="s">
        <v>18</v>
      </c>
      <c r="C88" s="10">
        <v>46147.0</v>
      </c>
      <c r="D88" s="9" t="s">
        <v>19</v>
      </c>
      <c r="F88" s="9" t="s">
        <v>23</v>
      </c>
      <c r="G88" s="9" t="s">
        <v>21</v>
      </c>
      <c r="H88" s="9">
        <v>5.0</v>
      </c>
      <c r="I88" s="9">
        <v>5.0</v>
      </c>
      <c r="J88" s="9">
        <v>5.0</v>
      </c>
      <c r="K88" s="9">
        <v>5.0</v>
      </c>
      <c r="L88" s="9">
        <v>5.0</v>
      </c>
      <c r="M88" s="9">
        <v>5.0</v>
      </c>
      <c r="N88" s="9">
        <v>5.0</v>
      </c>
      <c r="O88" s="9">
        <v>5.0</v>
      </c>
      <c r="P88" s="9">
        <v>10.0</v>
      </c>
    </row>
    <row r="89" ht="22.5" customHeight="1">
      <c r="A89" s="8">
        <v>46176.58761428241</v>
      </c>
      <c r="B89" s="9" t="s">
        <v>18</v>
      </c>
      <c r="C89" s="10">
        <v>46168.0</v>
      </c>
      <c r="D89" s="9" t="s">
        <v>19</v>
      </c>
      <c r="F89" s="9" t="s">
        <v>20</v>
      </c>
      <c r="G89" s="9" t="s">
        <v>21</v>
      </c>
      <c r="H89" s="9">
        <v>5.0</v>
      </c>
      <c r="I89" s="9">
        <v>5.0</v>
      </c>
      <c r="J89" s="9">
        <v>5.0</v>
      </c>
      <c r="K89" s="9">
        <v>5.0</v>
      </c>
      <c r="L89" s="9">
        <v>5.0</v>
      </c>
      <c r="M89" s="9">
        <v>5.0</v>
      </c>
      <c r="N89" s="9">
        <v>5.0</v>
      </c>
      <c r="O89" s="9">
        <v>5.0</v>
      </c>
      <c r="P89" s="9">
        <v>10.0</v>
      </c>
    </row>
    <row r="90" ht="22.5" customHeight="1">
      <c r="A90" s="8">
        <v>46176.588287245366</v>
      </c>
      <c r="B90" s="9" t="s">
        <v>18</v>
      </c>
      <c r="C90" s="10">
        <v>46168.0</v>
      </c>
      <c r="D90" s="9" t="s">
        <v>19</v>
      </c>
      <c r="F90" s="9" t="s">
        <v>23</v>
      </c>
      <c r="G90" s="9" t="s">
        <v>21</v>
      </c>
      <c r="H90" s="9">
        <v>5.0</v>
      </c>
      <c r="I90" s="9">
        <v>5.0</v>
      </c>
      <c r="J90" s="9">
        <v>5.0</v>
      </c>
      <c r="K90" s="9">
        <v>5.0</v>
      </c>
      <c r="N90" s="9">
        <v>5.0</v>
      </c>
      <c r="O90" s="9">
        <v>5.0</v>
      </c>
      <c r="P90" s="9">
        <v>10.0</v>
      </c>
    </row>
    <row r="91" ht="22.5" customHeight="1">
      <c r="A91" s="8">
        <v>46176.5887265162</v>
      </c>
      <c r="B91" s="9" t="s">
        <v>18</v>
      </c>
      <c r="C91" s="10">
        <v>46168.0</v>
      </c>
      <c r="D91" s="9" t="s">
        <v>19</v>
      </c>
      <c r="F91" s="9" t="s">
        <v>23</v>
      </c>
      <c r="G91" s="9" t="s">
        <v>21</v>
      </c>
      <c r="H91" s="9">
        <v>5.0</v>
      </c>
      <c r="I91" s="9">
        <v>5.0</v>
      </c>
      <c r="J91" s="9">
        <v>5.0</v>
      </c>
      <c r="K91" s="9">
        <v>5.0</v>
      </c>
      <c r="L91" s="9">
        <v>5.0</v>
      </c>
      <c r="M91" s="9">
        <v>5.0</v>
      </c>
      <c r="N91" s="9">
        <v>5.0</v>
      </c>
      <c r="O91" s="9">
        <v>5.0</v>
      </c>
      <c r="P91" s="9">
        <v>10.0</v>
      </c>
    </row>
    <row r="92" ht="22.5" customHeight="1">
      <c r="A92" s="8">
        <v>46176.58941226851</v>
      </c>
      <c r="B92" s="9" t="s">
        <v>18</v>
      </c>
      <c r="C92" s="10">
        <v>46162.0</v>
      </c>
      <c r="D92" s="9" t="s">
        <v>19</v>
      </c>
      <c r="F92" s="9" t="s">
        <v>23</v>
      </c>
      <c r="G92" s="9" t="s">
        <v>57</v>
      </c>
      <c r="H92" s="9">
        <v>5.0</v>
      </c>
      <c r="I92" s="9">
        <v>5.0</v>
      </c>
      <c r="J92" s="9">
        <v>5.0</v>
      </c>
      <c r="K92" s="9">
        <v>5.0</v>
      </c>
      <c r="M92" s="9">
        <v>5.0</v>
      </c>
      <c r="N92" s="9">
        <v>5.0</v>
      </c>
      <c r="O92" s="9">
        <v>5.0</v>
      </c>
      <c r="P92" s="9">
        <v>10.0</v>
      </c>
    </row>
    <row r="93" ht="22.5" customHeight="1">
      <c r="A93" s="8">
        <v>46176.58987571759</v>
      </c>
      <c r="B93" s="9" t="s">
        <v>18</v>
      </c>
      <c r="C93" s="10">
        <v>46171.0</v>
      </c>
      <c r="D93" s="9" t="s">
        <v>19</v>
      </c>
      <c r="F93" s="9" t="s">
        <v>20</v>
      </c>
      <c r="G93" s="9" t="s">
        <v>21</v>
      </c>
      <c r="H93" s="9">
        <v>5.0</v>
      </c>
      <c r="I93" s="9">
        <v>5.0</v>
      </c>
      <c r="J93" s="9">
        <v>5.0</v>
      </c>
      <c r="K93" s="9">
        <v>5.0</v>
      </c>
      <c r="L93" s="9">
        <v>5.0</v>
      </c>
      <c r="M93" s="9">
        <v>5.0</v>
      </c>
      <c r="N93" s="9">
        <v>5.0</v>
      </c>
      <c r="O93" s="9">
        <v>5.0</v>
      </c>
      <c r="P93" s="9">
        <v>9.0</v>
      </c>
    </row>
    <row r="94" ht="22.5" customHeight="1">
      <c r="A94" s="8">
        <v>46176.59076989583</v>
      </c>
      <c r="B94" s="9" t="s">
        <v>18</v>
      </c>
      <c r="C94" s="10">
        <v>46171.0</v>
      </c>
      <c r="D94" s="9" t="s">
        <v>19</v>
      </c>
      <c r="E94" s="9" t="s">
        <v>58</v>
      </c>
      <c r="F94" s="9" t="s">
        <v>23</v>
      </c>
      <c r="G94" s="9" t="s">
        <v>21</v>
      </c>
      <c r="H94" s="9">
        <v>5.0</v>
      </c>
      <c r="I94" s="9">
        <v>5.0</v>
      </c>
      <c r="J94" s="9">
        <v>5.0</v>
      </c>
      <c r="K94" s="9">
        <v>5.0</v>
      </c>
      <c r="L94" s="9">
        <v>5.0</v>
      </c>
      <c r="M94" s="9">
        <v>5.0</v>
      </c>
      <c r="N94" s="9">
        <v>5.0</v>
      </c>
      <c r="O94" s="9">
        <v>5.0</v>
      </c>
      <c r="P94" s="9">
        <v>9.0</v>
      </c>
    </row>
    <row r="95" ht="22.5" customHeight="1">
      <c r="A95" s="8">
        <v>46176.591438958334</v>
      </c>
      <c r="B95" s="9" t="s">
        <v>18</v>
      </c>
      <c r="C95" s="10">
        <v>46147.0</v>
      </c>
      <c r="D95" s="9" t="s">
        <v>26</v>
      </c>
      <c r="F95" s="9" t="s">
        <v>23</v>
      </c>
      <c r="G95" s="9" t="s">
        <v>21</v>
      </c>
      <c r="H95" s="9">
        <v>5.0</v>
      </c>
      <c r="I95" s="9">
        <v>5.0</v>
      </c>
      <c r="J95" s="9">
        <v>5.0</v>
      </c>
      <c r="K95" s="9">
        <v>5.0</v>
      </c>
      <c r="L95" s="9">
        <v>5.0</v>
      </c>
      <c r="M95" s="9">
        <v>5.0</v>
      </c>
      <c r="N95" s="9">
        <v>5.0</v>
      </c>
      <c r="O95" s="9">
        <v>5.0</v>
      </c>
      <c r="P95" s="9">
        <v>10.0</v>
      </c>
    </row>
    <row r="96" ht="22.5" customHeight="1">
      <c r="A96" s="8">
        <v>46176.59182253473</v>
      </c>
      <c r="B96" s="9" t="s">
        <v>18</v>
      </c>
      <c r="C96" s="10">
        <v>46161.0</v>
      </c>
      <c r="D96" s="9" t="s">
        <v>26</v>
      </c>
      <c r="F96" s="9" t="s">
        <v>23</v>
      </c>
      <c r="G96" s="9" t="s">
        <v>21</v>
      </c>
      <c r="H96" s="9">
        <v>5.0</v>
      </c>
      <c r="I96" s="9">
        <v>5.0</v>
      </c>
      <c r="J96" s="9">
        <v>5.0</v>
      </c>
      <c r="K96" s="9">
        <v>5.0</v>
      </c>
      <c r="L96" s="9">
        <v>5.0</v>
      </c>
      <c r="M96" s="9">
        <v>5.0</v>
      </c>
      <c r="N96" s="9">
        <v>5.0</v>
      </c>
      <c r="O96" s="9">
        <v>5.0</v>
      </c>
      <c r="P96" s="9">
        <v>10.0</v>
      </c>
    </row>
    <row r="97" ht="22.5" customHeight="1">
      <c r="A97" s="8">
        <v>46176.59246747685</v>
      </c>
      <c r="B97" s="9" t="s">
        <v>18</v>
      </c>
      <c r="C97" s="10">
        <v>46167.0</v>
      </c>
      <c r="D97" s="9" t="s">
        <v>26</v>
      </c>
      <c r="F97" s="9" t="s">
        <v>20</v>
      </c>
      <c r="G97" s="9" t="s">
        <v>21</v>
      </c>
      <c r="H97" s="9">
        <v>5.0</v>
      </c>
      <c r="I97" s="9">
        <v>5.0</v>
      </c>
      <c r="J97" s="9">
        <v>5.0</v>
      </c>
      <c r="K97" s="9">
        <v>5.0</v>
      </c>
      <c r="L97" s="9">
        <v>5.0</v>
      </c>
      <c r="M97" s="9">
        <v>5.0</v>
      </c>
      <c r="N97" s="9">
        <v>5.0</v>
      </c>
      <c r="O97" s="9">
        <v>5.0</v>
      </c>
      <c r="P97" s="9">
        <v>10.0</v>
      </c>
    </row>
    <row r="98" ht="22.5" customHeight="1">
      <c r="A98" s="8">
        <v>46176.59284520833</v>
      </c>
      <c r="B98" s="9" t="s">
        <v>18</v>
      </c>
      <c r="C98" s="10">
        <v>46168.0</v>
      </c>
      <c r="D98" s="9" t="s">
        <v>26</v>
      </c>
      <c r="F98" s="9" t="s">
        <v>20</v>
      </c>
      <c r="G98" s="9" t="s">
        <v>21</v>
      </c>
      <c r="H98" s="9">
        <v>5.0</v>
      </c>
      <c r="I98" s="9">
        <v>5.0</v>
      </c>
      <c r="J98" s="9">
        <v>5.0</v>
      </c>
      <c r="K98" s="9">
        <v>5.0</v>
      </c>
      <c r="L98" s="9">
        <v>5.0</v>
      </c>
      <c r="M98" s="9">
        <v>5.0</v>
      </c>
      <c r="N98" s="9">
        <v>5.0</v>
      </c>
      <c r="O98" s="9">
        <v>5.0</v>
      </c>
      <c r="P98" s="9">
        <v>10.0</v>
      </c>
    </row>
    <row r="99" ht="22.5" customHeight="1">
      <c r="A99" s="8">
        <v>46176.597802696764</v>
      </c>
      <c r="B99" s="9" t="s">
        <v>18</v>
      </c>
      <c r="C99" s="10">
        <v>46168.0</v>
      </c>
      <c r="D99" s="9" t="s">
        <v>26</v>
      </c>
      <c r="F99" s="9" t="s">
        <v>20</v>
      </c>
      <c r="G99" s="9" t="s">
        <v>21</v>
      </c>
      <c r="H99" s="9">
        <v>5.0</v>
      </c>
      <c r="I99" s="9">
        <v>5.0</v>
      </c>
      <c r="J99" s="9">
        <v>5.0</v>
      </c>
      <c r="K99" s="9">
        <v>5.0</v>
      </c>
      <c r="L99" s="9">
        <v>5.0</v>
      </c>
      <c r="M99" s="9">
        <v>5.0</v>
      </c>
      <c r="N99" s="9">
        <v>5.0</v>
      </c>
      <c r="O99" s="9">
        <v>5.0</v>
      </c>
      <c r="P99" s="9">
        <v>10.0</v>
      </c>
    </row>
    <row r="100" ht="22.5" customHeight="1">
      <c r="A100" s="8">
        <v>46176.60220673611</v>
      </c>
      <c r="B100" s="9" t="s">
        <v>18</v>
      </c>
      <c r="C100" s="10">
        <v>46171.0</v>
      </c>
      <c r="D100" s="9" t="s">
        <v>26</v>
      </c>
      <c r="F100" s="9" t="s">
        <v>23</v>
      </c>
      <c r="G100" s="9" t="s">
        <v>21</v>
      </c>
      <c r="H100" s="9">
        <v>5.0</v>
      </c>
      <c r="I100" s="9">
        <v>5.0</v>
      </c>
      <c r="J100" s="9">
        <v>5.0</v>
      </c>
      <c r="K100" s="9">
        <v>5.0</v>
      </c>
      <c r="L100" s="9">
        <v>5.0</v>
      </c>
      <c r="M100" s="9">
        <v>5.0</v>
      </c>
      <c r="N100" s="9">
        <v>5.0</v>
      </c>
      <c r="O100" s="9">
        <v>5.0</v>
      </c>
      <c r="P100" s="9">
        <v>9.0</v>
      </c>
    </row>
    <row r="101" ht="22.5" customHeight="1">
      <c r="A101" s="8">
        <v>46176.60346958334</v>
      </c>
      <c r="B101" s="9" t="s">
        <v>18</v>
      </c>
      <c r="C101" s="10">
        <v>46171.0</v>
      </c>
      <c r="D101" s="9" t="s">
        <v>26</v>
      </c>
      <c r="F101" s="9" t="s">
        <v>20</v>
      </c>
      <c r="G101" s="9" t="s">
        <v>21</v>
      </c>
      <c r="H101" s="9">
        <v>5.0</v>
      </c>
      <c r="I101" s="9">
        <v>5.0</v>
      </c>
      <c r="J101" s="9">
        <v>5.0</v>
      </c>
      <c r="K101" s="9">
        <v>5.0</v>
      </c>
      <c r="L101" s="9">
        <v>5.0</v>
      </c>
      <c r="M101" s="9">
        <v>5.0</v>
      </c>
      <c r="N101" s="9">
        <v>5.0</v>
      </c>
      <c r="O101" s="9">
        <v>5.0</v>
      </c>
      <c r="P101" s="9">
        <v>10.0</v>
      </c>
    </row>
    <row r="102" ht="22.5" customHeight="1">
      <c r="A102" s="8">
        <v>46176.60416289352</v>
      </c>
      <c r="B102" s="9" t="s">
        <v>18</v>
      </c>
      <c r="C102" s="10">
        <v>46171.0</v>
      </c>
      <c r="D102" s="9" t="s">
        <v>53</v>
      </c>
      <c r="F102" s="9" t="s">
        <v>20</v>
      </c>
      <c r="G102" s="9" t="s">
        <v>21</v>
      </c>
      <c r="H102" s="9">
        <v>5.0</v>
      </c>
      <c r="I102" s="9">
        <v>5.0</v>
      </c>
      <c r="J102" s="9">
        <v>5.0</v>
      </c>
      <c r="K102" s="9">
        <v>5.0</v>
      </c>
      <c r="L102" s="9">
        <v>5.0</v>
      </c>
      <c r="M102" s="9">
        <v>5.0</v>
      </c>
      <c r="N102" s="9">
        <v>5.0</v>
      </c>
      <c r="O102" s="9">
        <v>5.0</v>
      </c>
      <c r="P102" s="9">
        <v>10.0</v>
      </c>
    </row>
    <row r="103" ht="22.5" customHeight="1">
      <c r="A103" s="8">
        <v>46176.60490342593</v>
      </c>
      <c r="B103" s="9" t="s">
        <v>18</v>
      </c>
      <c r="C103" s="10">
        <v>46171.0</v>
      </c>
      <c r="D103" s="9" t="s">
        <v>53</v>
      </c>
      <c r="F103" s="9" t="s">
        <v>20</v>
      </c>
      <c r="G103" s="9" t="s">
        <v>21</v>
      </c>
      <c r="H103" s="9">
        <v>5.0</v>
      </c>
      <c r="I103" s="9">
        <v>5.0</v>
      </c>
      <c r="J103" s="9">
        <v>5.0</v>
      </c>
      <c r="K103" s="9">
        <v>5.0</v>
      </c>
      <c r="L103" s="9">
        <v>5.0</v>
      </c>
      <c r="M103" s="9">
        <v>5.0</v>
      </c>
      <c r="N103" s="9">
        <v>5.0</v>
      </c>
      <c r="O103" s="9">
        <v>5.0</v>
      </c>
      <c r="P103" s="9">
        <v>9.0</v>
      </c>
    </row>
    <row r="104" ht="22.5" customHeight="1">
      <c r="A104" s="8">
        <v>46176.60622006944</v>
      </c>
      <c r="B104" s="9" t="s">
        <v>18</v>
      </c>
      <c r="C104" s="10">
        <v>46171.0</v>
      </c>
      <c r="D104" s="9" t="s">
        <v>36</v>
      </c>
      <c r="F104" s="9" t="s">
        <v>20</v>
      </c>
      <c r="G104" s="9" t="s">
        <v>21</v>
      </c>
      <c r="H104" s="9">
        <v>5.0</v>
      </c>
      <c r="I104" s="9">
        <v>5.0</v>
      </c>
      <c r="J104" s="9">
        <v>5.0</v>
      </c>
      <c r="K104" s="9">
        <v>5.0</v>
      </c>
      <c r="L104" s="9">
        <v>5.0</v>
      </c>
      <c r="M104" s="9">
        <v>5.0</v>
      </c>
      <c r="N104" s="9">
        <v>5.0</v>
      </c>
      <c r="O104" s="9">
        <v>5.0</v>
      </c>
      <c r="P104" s="9">
        <v>10.0</v>
      </c>
    </row>
    <row r="105" ht="22.5" customHeight="1">
      <c r="A105" s="8">
        <v>46176.60683962963</v>
      </c>
      <c r="B105" s="9" t="s">
        <v>18</v>
      </c>
      <c r="C105" s="10">
        <v>46167.0</v>
      </c>
      <c r="D105" s="9" t="s">
        <v>36</v>
      </c>
      <c r="F105" s="9" t="s">
        <v>20</v>
      </c>
      <c r="G105" s="9" t="s">
        <v>21</v>
      </c>
      <c r="H105" s="9">
        <v>5.0</v>
      </c>
      <c r="I105" s="9">
        <v>5.0</v>
      </c>
      <c r="J105" s="9">
        <v>5.0</v>
      </c>
      <c r="K105" s="9">
        <v>5.0</v>
      </c>
      <c r="L105" s="9">
        <v>5.0</v>
      </c>
      <c r="M105" s="9">
        <v>5.0</v>
      </c>
      <c r="N105" s="9">
        <v>5.0</v>
      </c>
      <c r="O105" s="9">
        <v>5.0</v>
      </c>
      <c r="P105" s="9">
        <v>10.0</v>
      </c>
    </row>
    <row r="106" ht="22.5" customHeight="1">
      <c r="A106" s="8">
        <v>46203.45885436343</v>
      </c>
      <c r="B106" s="9" t="s">
        <v>18</v>
      </c>
      <c r="C106" s="10">
        <v>46198.0</v>
      </c>
      <c r="D106" s="9" t="s">
        <v>19</v>
      </c>
      <c r="F106" s="9" t="s">
        <v>23</v>
      </c>
      <c r="G106" s="9" t="s">
        <v>21</v>
      </c>
      <c r="H106" s="9">
        <v>5.0</v>
      </c>
      <c r="I106" s="9">
        <v>5.0</v>
      </c>
      <c r="J106" s="9">
        <v>5.0</v>
      </c>
      <c r="K106" s="9">
        <v>5.0</v>
      </c>
      <c r="L106" s="9">
        <v>5.0</v>
      </c>
      <c r="M106" s="9">
        <v>5.0</v>
      </c>
      <c r="N106" s="9">
        <v>5.0</v>
      </c>
      <c r="O106" s="9">
        <v>5.0</v>
      </c>
      <c r="P106" s="9">
        <v>9.0</v>
      </c>
    </row>
    <row r="107" ht="22.5" customHeight="1">
      <c r="A107" s="8">
        <v>46203.45963672454</v>
      </c>
      <c r="B107" s="9" t="s">
        <v>18</v>
      </c>
      <c r="C107" s="10">
        <v>46198.0</v>
      </c>
      <c r="D107" s="9" t="s">
        <v>19</v>
      </c>
      <c r="F107" s="9" t="s">
        <v>23</v>
      </c>
      <c r="G107" s="9" t="s">
        <v>21</v>
      </c>
      <c r="H107" s="9">
        <v>5.0</v>
      </c>
      <c r="I107" s="9">
        <v>5.0</v>
      </c>
      <c r="J107" s="9">
        <v>5.0</v>
      </c>
      <c r="K107" s="9">
        <v>5.0</v>
      </c>
      <c r="L107" s="9">
        <v>5.0</v>
      </c>
      <c r="M107" s="9">
        <v>5.0</v>
      </c>
      <c r="N107" s="9">
        <v>5.0</v>
      </c>
      <c r="O107" s="9">
        <v>5.0</v>
      </c>
      <c r="P107" s="9">
        <v>8.0</v>
      </c>
    </row>
    <row r="108" ht="22.5" customHeight="1">
      <c r="A108" s="8">
        <v>46203.46012581019</v>
      </c>
      <c r="B108" s="9" t="s">
        <v>18</v>
      </c>
      <c r="C108" s="10">
        <v>46198.0</v>
      </c>
      <c r="D108" s="9" t="s">
        <v>19</v>
      </c>
      <c r="F108" s="9" t="s">
        <v>23</v>
      </c>
      <c r="G108" s="9" t="s">
        <v>21</v>
      </c>
      <c r="H108" s="9">
        <v>5.0</v>
      </c>
      <c r="I108" s="9">
        <v>5.0</v>
      </c>
      <c r="J108" s="9">
        <v>5.0</v>
      </c>
      <c r="K108" s="9">
        <v>5.0</v>
      </c>
      <c r="L108" s="9">
        <v>5.0</v>
      </c>
      <c r="M108" s="9">
        <v>5.0</v>
      </c>
      <c r="N108" s="9">
        <v>5.0</v>
      </c>
      <c r="O108" s="9">
        <v>5.0</v>
      </c>
      <c r="P108" s="9">
        <v>9.0</v>
      </c>
    </row>
    <row r="109" ht="22.5" customHeight="1">
      <c r="A109" s="8">
        <v>46203.46084042824</v>
      </c>
      <c r="B109" s="9" t="s">
        <v>18</v>
      </c>
      <c r="C109" s="10">
        <v>46198.0</v>
      </c>
      <c r="D109" s="9" t="s">
        <v>19</v>
      </c>
      <c r="F109" s="9" t="s">
        <v>23</v>
      </c>
      <c r="G109" s="9" t="s">
        <v>21</v>
      </c>
      <c r="H109" s="9">
        <v>5.0</v>
      </c>
      <c r="I109" s="9">
        <v>5.0</v>
      </c>
      <c r="J109" s="9">
        <v>5.0</v>
      </c>
      <c r="K109" s="9">
        <v>5.0</v>
      </c>
      <c r="L109" s="9">
        <v>5.0</v>
      </c>
      <c r="M109" s="9">
        <v>5.0</v>
      </c>
      <c r="N109" s="9">
        <v>5.0</v>
      </c>
      <c r="O109" s="9">
        <v>5.0</v>
      </c>
      <c r="P109" s="9">
        <v>9.0</v>
      </c>
    </row>
    <row r="110" ht="22.5" customHeight="1">
      <c r="A110" s="8">
        <v>46203.46147692129</v>
      </c>
      <c r="B110" s="9" t="s">
        <v>18</v>
      </c>
      <c r="C110" s="10">
        <v>46198.0</v>
      </c>
      <c r="D110" s="9" t="s">
        <v>19</v>
      </c>
      <c r="F110" s="9" t="s">
        <v>23</v>
      </c>
      <c r="G110" s="9" t="s">
        <v>21</v>
      </c>
      <c r="H110" s="9">
        <v>5.0</v>
      </c>
      <c r="I110" s="9">
        <v>5.0</v>
      </c>
      <c r="J110" s="9">
        <v>5.0</v>
      </c>
      <c r="K110" s="9">
        <v>5.0</v>
      </c>
      <c r="L110" s="9">
        <v>5.0</v>
      </c>
      <c r="M110" s="9">
        <v>5.0</v>
      </c>
      <c r="N110" s="9">
        <v>5.0</v>
      </c>
      <c r="O110" s="9">
        <v>5.0</v>
      </c>
      <c r="P110" s="9">
        <v>10.0</v>
      </c>
    </row>
    <row r="111" ht="22.5" customHeight="1">
      <c r="A111" s="8">
        <v>46203.46192715278</v>
      </c>
      <c r="B111" s="9" t="s">
        <v>18</v>
      </c>
      <c r="C111" s="10">
        <v>46198.0</v>
      </c>
      <c r="D111" s="9" t="s">
        <v>19</v>
      </c>
      <c r="F111" s="9" t="s">
        <v>23</v>
      </c>
      <c r="G111" s="9" t="s">
        <v>21</v>
      </c>
      <c r="H111" s="9">
        <v>5.0</v>
      </c>
      <c r="I111" s="9">
        <v>5.0</v>
      </c>
      <c r="J111" s="9">
        <v>5.0</v>
      </c>
      <c r="K111" s="9">
        <v>5.0</v>
      </c>
      <c r="L111" s="9">
        <v>5.0</v>
      </c>
      <c r="M111" s="9">
        <v>5.0</v>
      </c>
      <c r="N111" s="9">
        <v>5.0</v>
      </c>
      <c r="O111" s="9">
        <v>5.0</v>
      </c>
      <c r="P111" s="9">
        <v>8.0</v>
      </c>
    </row>
    <row r="112" ht="22.5" customHeight="1">
      <c r="A112" s="8">
        <v>46203.46231840277</v>
      </c>
      <c r="B112" s="9" t="s">
        <v>18</v>
      </c>
      <c r="C112" s="10">
        <v>46198.0</v>
      </c>
      <c r="D112" s="9" t="s">
        <v>19</v>
      </c>
      <c r="F112" s="9" t="s">
        <v>23</v>
      </c>
      <c r="G112" s="9" t="s">
        <v>21</v>
      </c>
      <c r="H112" s="9">
        <v>5.0</v>
      </c>
      <c r="I112" s="9">
        <v>5.0</v>
      </c>
      <c r="J112" s="9">
        <v>5.0</v>
      </c>
      <c r="K112" s="9">
        <v>5.0</v>
      </c>
      <c r="L112" s="9">
        <v>5.0</v>
      </c>
      <c r="M112" s="9">
        <v>5.0</v>
      </c>
      <c r="N112" s="9">
        <v>5.0</v>
      </c>
      <c r="O112" s="9">
        <v>5.0</v>
      </c>
      <c r="P112" s="9">
        <v>9.0</v>
      </c>
    </row>
    <row r="113" ht="22.5" customHeight="1">
      <c r="A113" s="8">
        <v>46203.46280342592</v>
      </c>
      <c r="B113" s="9" t="s">
        <v>18</v>
      </c>
      <c r="C113" s="10">
        <v>46198.0</v>
      </c>
      <c r="D113" s="9" t="s">
        <v>19</v>
      </c>
      <c r="F113" s="9" t="s">
        <v>23</v>
      </c>
      <c r="G113" s="9" t="s">
        <v>21</v>
      </c>
      <c r="H113" s="9">
        <v>5.0</v>
      </c>
      <c r="I113" s="9">
        <v>5.0</v>
      </c>
      <c r="J113" s="9">
        <v>5.0</v>
      </c>
      <c r="K113" s="9">
        <v>5.0</v>
      </c>
      <c r="L113" s="9">
        <v>5.0</v>
      </c>
      <c r="M113" s="9">
        <v>5.0</v>
      </c>
      <c r="N113" s="9">
        <v>5.0</v>
      </c>
      <c r="O113" s="9">
        <v>5.0</v>
      </c>
      <c r="P113" s="9">
        <v>9.0</v>
      </c>
    </row>
    <row r="114" ht="22.5" customHeight="1">
      <c r="A114" s="8">
        <v>46203.4631672338</v>
      </c>
      <c r="B114" s="9" t="s">
        <v>18</v>
      </c>
      <c r="C114" s="10">
        <v>46198.0</v>
      </c>
      <c r="D114" s="9" t="s">
        <v>19</v>
      </c>
      <c r="F114" s="9" t="s">
        <v>23</v>
      </c>
      <c r="G114" s="9" t="s">
        <v>21</v>
      </c>
      <c r="H114" s="9">
        <v>5.0</v>
      </c>
      <c r="I114" s="9">
        <v>5.0</v>
      </c>
      <c r="J114" s="9">
        <v>5.0</v>
      </c>
      <c r="K114" s="9">
        <v>5.0</v>
      </c>
      <c r="L114" s="9">
        <v>5.0</v>
      </c>
      <c r="M114" s="9">
        <v>5.0</v>
      </c>
      <c r="N114" s="9">
        <v>5.0</v>
      </c>
      <c r="O114" s="9">
        <v>5.0</v>
      </c>
      <c r="P114" s="9">
        <v>9.0</v>
      </c>
    </row>
    <row r="115" ht="22.5" customHeight="1">
      <c r="A115" s="8">
        <v>46203.46365506944</v>
      </c>
      <c r="B115" s="9" t="s">
        <v>18</v>
      </c>
      <c r="C115" s="10">
        <v>46198.0</v>
      </c>
      <c r="D115" s="9" t="s">
        <v>19</v>
      </c>
      <c r="F115" s="9" t="s">
        <v>23</v>
      </c>
      <c r="G115" s="9" t="s">
        <v>21</v>
      </c>
      <c r="H115" s="9">
        <v>5.0</v>
      </c>
      <c r="I115" s="9">
        <v>5.0</v>
      </c>
      <c r="J115" s="9">
        <v>5.0</v>
      </c>
      <c r="K115" s="9">
        <v>5.0</v>
      </c>
      <c r="L115" s="9">
        <v>5.0</v>
      </c>
      <c r="M115" s="9">
        <v>5.0</v>
      </c>
      <c r="N115" s="9">
        <v>5.0</v>
      </c>
      <c r="O115" s="9">
        <v>5.0</v>
      </c>
      <c r="P115" s="9">
        <v>9.0</v>
      </c>
    </row>
    <row r="116" ht="22.5" customHeight="1">
      <c r="A116" s="8">
        <v>46203.464030821764</v>
      </c>
      <c r="B116" s="9" t="s">
        <v>18</v>
      </c>
      <c r="C116" s="10">
        <v>46198.0</v>
      </c>
      <c r="D116" s="9" t="s">
        <v>19</v>
      </c>
      <c r="F116" s="9" t="s">
        <v>23</v>
      </c>
      <c r="G116" s="9" t="s">
        <v>21</v>
      </c>
      <c r="H116" s="9">
        <v>5.0</v>
      </c>
      <c r="I116" s="9">
        <v>5.0</v>
      </c>
      <c r="J116" s="9">
        <v>5.0</v>
      </c>
      <c r="K116" s="9">
        <v>5.0</v>
      </c>
      <c r="L116" s="9">
        <v>5.0</v>
      </c>
      <c r="M116" s="9">
        <v>5.0</v>
      </c>
      <c r="N116" s="9">
        <v>5.0</v>
      </c>
      <c r="O116" s="9">
        <v>5.0</v>
      </c>
      <c r="P116" s="9">
        <v>10.0</v>
      </c>
    </row>
    <row r="117" ht="22.5" customHeight="1">
      <c r="A117" s="8">
        <v>46203.46438668981</v>
      </c>
      <c r="B117" s="9" t="s">
        <v>18</v>
      </c>
      <c r="C117" s="10">
        <v>46198.0</v>
      </c>
      <c r="D117" s="9" t="s">
        <v>19</v>
      </c>
      <c r="F117" s="9" t="s">
        <v>23</v>
      </c>
      <c r="G117" s="9" t="s">
        <v>21</v>
      </c>
      <c r="H117" s="9">
        <v>5.0</v>
      </c>
      <c r="I117" s="9">
        <v>5.0</v>
      </c>
      <c r="J117" s="9">
        <v>5.0</v>
      </c>
      <c r="K117" s="9">
        <v>5.0</v>
      </c>
      <c r="L117" s="9">
        <v>5.0</v>
      </c>
      <c r="M117" s="9">
        <v>5.0</v>
      </c>
      <c r="N117" s="9">
        <v>5.0</v>
      </c>
      <c r="O117" s="9">
        <v>5.0</v>
      </c>
      <c r="P117" s="9">
        <v>10.0</v>
      </c>
    </row>
    <row r="118" ht="22.5" customHeight="1">
      <c r="A118" s="8">
        <v>46203.46467868055</v>
      </c>
      <c r="B118" s="9" t="s">
        <v>18</v>
      </c>
      <c r="C118" s="10">
        <v>46198.0</v>
      </c>
      <c r="D118" s="9" t="s">
        <v>19</v>
      </c>
      <c r="F118" s="9" t="s">
        <v>23</v>
      </c>
      <c r="G118" s="9" t="s">
        <v>21</v>
      </c>
      <c r="H118" s="9">
        <v>5.0</v>
      </c>
      <c r="I118" s="9">
        <v>5.0</v>
      </c>
      <c r="J118" s="9">
        <v>5.0</v>
      </c>
      <c r="K118" s="9">
        <v>5.0</v>
      </c>
      <c r="L118" s="9">
        <v>5.0</v>
      </c>
      <c r="M118" s="9">
        <v>5.0</v>
      </c>
      <c r="O118" s="9">
        <v>5.0</v>
      </c>
      <c r="P118" s="9">
        <v>10.0</v>
      </c>
    </row>
    <row r="119" ht="22.5" customHeight="1">
      <c r="A119" s="8">
        <v>46203.464979525466</v>
      </c>
      <c r="B119" s="9" t="s">
        <v>18</v>
      </c>
      <c r="C119" s="10">
        <v>46198.0</v>
      </c>
      <c r="D119" s="9" t="s">
        <v>19</v>
      </c>
      <c r="F119" s="9" t="s">
        <v>23</v>
      </c>
      <c r="G119" s="9" t="s">
        <v>21</v>
      </c>
      <c r="H119" s="9">
        <v>5.0</v>
      </c>
      <c r="I119" s="9">
        <v>5.0</v>
      </c>
      <c r="J119" s="9">
        <v>5.0</v>
      </c>
      <c r="K119" s="9">
        <v>5.0</v>
      </c>
      <c r="L119" s="9">
        <v>5.0</v>
      </c>
      <c r="M119" s="9">
        <v>5.0</v>
      </c>
      <c r="N119" s="9">
        <v>5.0</v>
      </c>
      <c r="O119" s="9">
        <v>5.0</v>
      </c>
      <c r="P119" s="9">
        <v>10.0</v>
      </c>
    </row>
    <row r="120" ht="22.5" customHeight="1">
      <c r="A120" s="8">
        <v>46203.46538840278</v>
      </c>
      <c r="B120" s="9" t="s">
        <v>18</v>
      </c>
      <c r="C120" s="10">
        <v>46198.0</v>
      </c>
      <c r="D120" s="9" t="s">
        <v>19</v>
      </c>
      <c r="F120" s="9" t="s">
        <v>23</v>
      </c>
      <c r="G120" s="9" t="s">
        <v>21</v>
      </c>
      <c r="H120" s="9">
        <v>5.0</v>
      </c>
      <c r="I120" s="9">
        <v>5.0</v>
      </c>
      <c r="J120" s="9">
        <v>5.0</v>
      </c>
      <c r="K120" s="9">
        <v>5.0</v>
      </c>
      <c r="L120" s="9">
        <v>5.0</v>
      </c>
      <c r="M120" s="9">
        <v>5.0</v>
      </c>
      <c r="N120" s="9">
        <v>5.0</v>
      </c>
      <c r="O120" s="9">
        <v>5.0</v>
      </c>
      <c r="P120" s="9">
        <v>4.0</v>
      </c>
    </row>
    <row r="121" ht="22.5" customHeight="1">
      <c r="A121" s="8">
        <v>46203.46581479166</v>
      </c>
      <c r="B121" s="9" t="s">
        <v>18</v>
      </c>
      <c r="C121" s="10">
        <v>46198.0</v>
      </c>
      <c r="D121" s="9" t="s">
        <v>19</v>
      </c>
      <c r="F121" s="9" t="s">
        <v>23</v>
      </c>
      <c r="G121" s="9" t="s">
        <v>21</v>
      </c>
      <c r="H121" s="9">
        <v>5.0</v>
      </c>
      <c r="I121" s="9">
        <v>5.0</v>
      </c>
      <c r="J121" s="9">
        <v>5.0</v>
      </c>
      <c r="K121" s="9">
        <v>5.0</v>
      </c>
      <c r="L121" s="9">
        <v>5.0</v>
      </c>
      <c r="M121" s="9">
        <v>5.0</v>
      </c>
      <c r="N121" s="9">
        <v>5.0</v>
      </c>
      <c r="O121" s="9">
        <v>5.0</v>
      </c>
      <c r="P121" s="9">
        <v>10.0</v>
      </c>
    </row>
    <row r="122" ht="22.5" customHeight="1">
      <c r="A122" s="8">
        <v>46203.466124722225</v>
      </c>
      <c r="B122" s="9" t="s">
        <v>18</v>
      </c>
      <c r="C122" s="10">
        <v>46184.0</v>
      </c>
      <c r="D122" s="9" t="s">
        <v>19</v>
      </c>
      <c r="F122" s="9" t="s">
        <v>23</v>
      </c>
      <c r="G122" s="9" t="s">
        <v>21</v>
      </c>
      <c r="H122" s="9">
        <v>5.0</v>
      </c>
      <c r="I122" s="9">
        <v>5.0</v>
      </c>
      <c r="J122" s="9">
        <v>5.0</v>
      </c>
      <c r="K122" s="9">
        <v>5.0</v>
      </c>
      <c r="L122" s="9">
        <v>5.0</v>
      </c>
      <c r="M122" s="9">
        <v>5.0</v>
      </c>
      <c r="N122" s="9">
        <v>5.0</v>
      </c>
      <c r="O122" s="9">
        <v>5.0</v>
      </c>
      <c r="P122" s="9">
        <v>10.0</v>
      </c>
    </row>
    <row r="123" ht="22.5" customHeight="1">
      <c r="A123" s="8">
        <v>46203.46645847222</v>
      </c>
      <c r="B123" s="9" t="s">
        <v>18</v>
      </c>
      <c r="C123" s="10">
        <v>46198.0</v>
      </c>
      <c r="D123" s="9" t="s">
        <v>19</v>
      </c>
      <c r="F123" s="9" t="s">
        <v>23</v>
      </c>
      <c r="G123" s="9" t="s">
        <v>21</v>
      </c>
      <c r="H123" s="9">
        <v>5.0</v>
      </c>
      <c r="I123" s="9">
        <v>5.0</v>
      </c>
      <c r="J123" s="9">
        <v>5.0</v>
      </c>
      <c r="K123" s="9">
        <v>5.0</v>
      </c>
      <c r="L123" s="9">
        <v>5.0</v>
      </c>
      <c r="M123" s="9">
        <v>5.0</v>
      </c>
      <c r="N123" s="9">
        <v>5.0</v>
      </c>
      <c r="O123" s="9">
        <v>5.0</v>
      </c>
      <c r="P123" s="9">
        <v>10.0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f>IFERROR(__xludf.DUMMYFUNCTION("FILTER({'Form Responses 1'!A2:A222, 'Form Responses 1'!Q2:Q222, 'Form Responses 1'!R2:R222}, ('Form Responses 1'!Q2:Q222 &lt;&gt; """") + ('Form Responses 1'!R2:R222 &lt;&gt; """"))"),45973.43441459491)</f>
        <v>45973.43441</v>
      </c>
      <c r="B1" s="2" t="str">
        <f>IFERROR(__xludf.DUMMYFUNCTION("""COMPUTED_VALUE"""),"the service of the staff is very good and approachable in clients")</f>
        <v>the service of the staff is very good and approachable in clients</v>
      </c>
      <c r="C1" s="2"/>
    </row>
    <row r="2">
      <c r="A2" s="1">
        <f>IFERROR(__xludf.DUMMYFUNCTION("""COMPUTED_VALUE"""),46056.43835340277)</f>
        <v>46056.43835</v>
      </c>
      <c r="B2" s="2" t="str">
        <f>IFERROR(__xludf.DUMMYFUNCTION("""COMPUTED_VALUE"""),"Suplada ang secretary, mabuot ang mga working, madugay mag process sa vp finance")</f>
        <v>Suplada ang secretary, mabuot ang mga working, madugay mag process sa vp finance</v>
      </c>
      <c r="C2" s="2" t="str">
        <f>IFERROR(__xludf.DUMMYFUNCTION("""COMPUTED_VALUE"""),"Kayohi batasan sang staff ka fcu sa vp finance kag intsaktohon ang qr. Sorry kung nagsala na ang data sa acad pero in the first place dapat gina check na ngadaan ang qrs if tama ang link")</f>
        <v>Kayohi batasan sang staff ka fcu sa vp finance kag intsaktohon ang qr. Sorry kung nagsala na ang data sa acad pero in the first place dapat gina check na ngadaan ang qrs if tama ang link</v>
      </c>
    </row>
    <row r="3">
      <c r="A3" s="1">
        <f>IFERROR(__xludf.DUMMYFUNCTION("""COMPUTED_VALUE"""),46170.66016958334)</f>
        <v>46170.66017</v>
      </c>
      <c r="B3" s="2" t="str">
        <f>IFERROR(__xludf.DUMMYFUNCTION("""COMPUTED_VALUE"""),"Staff are very accomodating and kind")</f>
        <v>Staff are very accomodating and kind</v>
      </c>
      <c r="C3" s="2"/>
    </row>
    <row r="4">
      <c r="A4" s="1">
        <f>IFERROR(__xludf.DUMMYFUNCTION("""COMPUTED_VALUE"""),46170.66165361111)</f>
        <v>46170.66165</v>
      </c>
      <c r="B4" s="2" t="str">
        <f>IFERROR(__xludf.DUMMYFUNCTION("""COMPUTED_VALUE"""),"Satisfied")</f>
        <v>Satisfied</v>
      </c>
      <c r="C4" s="2"/>
    </row>
    <row r="5">
      <c r="A5" s="1">
        <f>IFERROR(__xludf.DUMMYFUNCTION("""COMPUTED_VALUE"""),46170.66792439815)</f>
        <v>46170.66792</v>
      </c>
      <c r="B5" s="2" t="str">
        <f>IFERROR(__xludf.DUMMYFUNCTION("""COMPUTED_VALUE"""),"Good Services")</f>
        <v>Good Services</v>
      </c>
      <c r="C5" s="2"/>
    </row>
    <row r="6">
      <c r="A6" s="1">
        <f>IFERROR(__xludf.DUMMYFUNCTION("""COMPUTED_VALUE"""),46170.66856672453)</f>
        <v>46170.66857</v>
      </c>
      <c r="B6" s="2" t="str">
        <f>IFERROR(__xludf.DUMMYFUNCTION("""COMPUTED_VALUE"""),"Very Good")</f>
        <v>Very Good</v>
      </c>
      <c r="C6" s="2"/>
    </row>
    <row r="7">
      <c r="A7" s="1">
        <f>IFERROR(__xludf.DUMMYFUNCTION("""COMPUTED_VALUE"""),46170.69200791667)</f>
        <v>46170.69201</v>
      </c>
      <c r="B7" s="2" t="str">
        <f>IFERROR(__xludf.DUMMYFUNCTION("""COMPUTED_VALUE"""),"Keep-up the good service")</f>
        <v>Keep-up the good service</v>
      </c>
      <c r="C7" s="2"/>
    </row>
    <row r="8">
      <c r="A8" s="1">
        <f>IFERROR(__xludf.DUMMYFUNCTION("""COMPUTED_VALUE"""),46171.38888916667)</f>
        <v>46171.38889</v>
      </c>
      <c r="B8" s="2" t="str">
        <f>IFERROR(__xludf.DUMMYFUNCTION("""COMPUTED_VALUE"""),"Good Job")</f>
        <v>Good Job</v>
      </c>
      <c r="C8" s="2"/>
    </row>
    <row r="9">
      <c r="A9" s="1">
        <f>IFERROR(__xludf.DUMMYFUNCTION("""COMPUTED_VALUE"""),46171.39862622685)</f>
        <v>46171.39863</v>
      </c>
      <c r="B9" s="2" t="str">
        <f>IFERROR(__xludf.DUMMYFUNCTION("""COMPUTED_VALUE"""),"The Staff is friendly and very accomodating")</f>
        <v>The Staff is friendly and very accomodating</v>
      </c>
      <c r="C9" s="2"/>
    </row>
  </sheetData>
  <drawing r:id="rId1"/>
</worksheet>
</file>