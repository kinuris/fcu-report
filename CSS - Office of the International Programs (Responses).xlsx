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<sst xmlns="http://schemas.openxmlformats.org/spreadsheetml/2006/main" count="395" uniqueCount="113">
  <si>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</si>
  <si>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</si>
  <si>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</si>
  <si>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</si>
  <si>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</si>
  <si>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</si>
  <si>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 xml:space="preserve">Services Availed: Office of International Programs </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</si>
  <si>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</si>
  <si>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</si>
  <si>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</si>
  <si>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</si>
  <si>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</si>
  <si>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</si>
  <si>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</si>
  <si>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</si>
  <si>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</si>
  <si>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services provided by the office? </t>
  </si>
  <si>
    <t xml:space="preserve">What are your suggestions to improve customer experience with this office? </t>
  </si>
  <si>
    <t>I AGREE</t>
  </si>
  <si>
    <t>Student</t>
  </si>
  <si>
    <t>CAS</t>
  </si>
  <si>
    <t>Male</t>
  </si>
  <si>
    <t>Facilitation of Student Mobility</t>
  </si>
  <si>
    <t xml:space="preserve">I appreciate that the staff are always courteous and knowledgeable when I interact with them, They’re know all the things needs to do. </t>
  </si>
  <si>
    <t>if possible, the office could make more forms and scheduling options available online, it would significantly improve the overall convenience and accessibility for staffs or students.</t>
  </si>
  <si>
    <t>Filamer Christian University, Inc. (College of Arts and Sciences)</t>
  </si>
  <si>
    <t>Female</t>
  </si>
  <si>
    <t xml:space="preserve">Everything was done promptly and efficiently. They ensure little to no communication or process mishaps happen. If an issue arises, they are accommodating and resolves it as best as possible. </t>
  </si>
  <si>
    <t>None</t>
  </si>
  <si>
    <t>Faculty/Staff</t>
  </si>
  <si>
    <t>Universitas Kristen Krida Wacana (UKRIDA)</t>
  </si>
  <si>
    <t>Facilitation of Faculty/Staff Mobility</t>
  </si>
  <si>
    <t xml:space="preserve">Very good.. </t>
  </si>
  <si>
    <t xml:space="preserve">A more detailed schedule would be nice </t>
  </si>
  <si>
    <t>Guest</t>
  </si>
  <si>
    <t>UKRIDA</t>
  </si>
  <si>
    <t>Faculty Exchange</t>
  </si>
  <si>
    <t>More Collaboration</t>
  </si>
  <si>
    <t>Make Collaboration  More</t>
  </si>
  <si>
    <t>Filamer Christian University</t>
  </si>
  <si>
    <t>Facilitation of Virtual Exchange</t>
  </si>
  <si>
    <t>College of Computer Studies</t>
  </si>
  <si>
    <t>Admin</t>
  </si>
  <si>
    <t>Continue with what you are doing</t>
  </si>
  <si>
    <t>N/a</t>
  </si>
  <si>
    <t xml:space="preserve">Facilitation of Student Mobility, Facilitation of Faculty/Staff Mobility, Facilitation of Virtual Exchange, </t>
  </si>
  <si>
    <t>CBA</t>
  </si>
  <si>
    <t>Prefer not to say</t>
  </si>
  <si>
    <t>CHTM</t>
  </si>
  <si>
    <t>The office provides organized and reliable services. They are responsive, supportive, and helpful in assisting students.</t>
  </si>
  <si>
    <t>none</t>
  </si>
  <si>
    <t>The office provides efficient and organized services. The staff are approachable and helpful, and they respond to concerns clearly and professionally.</t>
  </si>
  <si>
    <t>They can improve by reducing waiting time and providing clearer instructions or updates to clients to make the process faster and more convenient.</t>
  </si>
  <si>
    <t>Facilitation of Student Mobility, Facilitation of Faculty/Staff Mobility</t>
  </si>
  <si>
    <t>Some staffs are polite, some are snob, some offices or the one who does signing the papers  makes us wait for a longer time.</t>
  </si>
  <si>
    <t>Treat us fair, and don’t make us wait for a ling time getting your signatures because we also have a lot to do in this school</t>
  </si>
  <si>
    <t xml:space="preserve"> It's okay sometimes 🙂 </t>
  </si>
  <si>
    <t xml:space="preserve"> Always be patient to the students</t>
  </si>
  <si>
    <t>1/26/0026</t>
  </si>
  <si>
    <t>It's nice</t>
  </si>
  <si>
    <t xml:space="preserve"> Conduct more information </t>
  </si>
  <si>
    <t>2/26/0026</t>
  </si>
  <si>
    <t>N/A</t>
  </si>
  <si>
    <t xml:space="preserve">Filamer Christian University </t>
  </si>
  <si>
    <t xml:space="preserve">Student </t>
  </si>
  <si>
    <t xml:space="preserve">
Really appreciate how the office staff are always so friendly and know their stuff – they get things done pretty quickly too.</t>
  </si>
  <si>
    <t xml:space="preserve">
Just thinking it’d be even better if we could book appointments online to skip the wait, have some simple step-by-step notes up for common tasks, and maybe keep things open a bit longer when it gets super busy like during enrollment time.</t>
  </si>
  <si>
    <t xml:space="preserve">Good </t>
  </si>
  <si>
    <t xml:space="preserve">chtm </t>
  </si>
  <si>
    <t>student</t>
  </si>
  <si>
    <t>the services was good</t>
  </si>
  <si>
    <t>i have no suggestions</t>
  </si>
  <si>
    <t>good</t>
  </si>
  <si>
    <t>Good</t>
  </si>
  <si>
    <t>better improve</t>
  </si>
  <si>
    <t>be patient</t>
  </si>
  <si>
    <t>individual's</t>
  </si>
  <si>
    <t>2nd year</t>
  </si>
  <si>
    <t xml:space="preserve">it’s very convenient to answer </t>
  </si>
  <si>
    <t xml:space="preserve">to have a long understanding to their costumers </t>
  </si>
  <si>
    <t>Really appreciate how the office staff are always so friendly and know their stuff – they get things done pretty quickly too!</t>
  </si>
  <si>
    <t>Just thinking it’d be even better if we could book appointments online to skip the wait, have some simple step-by-step notes up for common tasks, and maybe keep things open a bit longer when it gets super busy like during enrollment time.</t>
  </si>
  <si>
    <t xml:space="preserve">Okay good </t>
  </si>
  <si>
    <t>The services provided by the office are really helpful and reliable. The staff are friendly, approachable, and willing to assist whenever there are questions or concerns. They make sure that people feel guided and supported throughout the process. You can see their effort in making transactions smooth and organized. Overall, the office does a good job in serving and meeting the needs of everyone.</t>
  </si>
  <si>
    <t>To improve customer experience in this office, I suggest that the staff continue to show kindness, patience, and professionalism when assisting clients. A simple smile and respectful communication can already make customers feel comfortable and valued. It would also be better if the office could reduce waiting time by improving the system or adding more staff during busy hours. Clear instructions and complete information should be posted so clients will not feel confused about the process.</t>
  </si>
  <si>
    <t>H</t>
  </si>
  <si>
    <t>All are good in communication skills</t>
  </si>
  <si>
    <t>.</t>
  </si>
  <si>
    <t>Facilitation of Virtual Student Exchange</t>
  </si>
  <si>
    <t>The services were very helpful as they assist students to experience new learning environments, opportunities to improve our skills and knowledge, and build relationship, collaboration, and engagement with both domestic and international teachers and students.</t>
  </si>
  <si>
    <t>CEESO</t>
  </si>
  <si>
    <t>Inquiry/Wuri</t>
  </si>
  <si>
    <t>College of Teacher Education</t>
  </si>
  <si>
    <t>I really appreciate how the office makes international learning accessible and affordable for students through great virtual exchange programs and global partnerships.</t>
  </si>
  <si>
    <t>College of Arts and Sciences (CAS)</t>
  </si>
  <si>
    <t>n/a</t>
  </si>
  <si>
    <t>Intact Base Taiwan-Philippines Information Session</t>
  </si>
  <si>
    <t>Alumni</t>
  </si>
  <si>
    <t xml:space="preserve">Retired </t>
  </si>
  <si>
    <t xml:space="preserve">Prompt and accommodating </t>
  </si>
  <si>
    <t>Keep it up</t>
  </si>
  <si>
    <t>NA</t>
  </si>
  <si>
    <t>RICWO</t>
  </si>
  <si>
    <t>Excellent</t>
  </si>
  <si>
    <t xml:space="preserve">college of business and accountancy </t>
  </si>
  <si>
    <t xml:space="preserve">Excellent service </t>
  </si>
  <si>
    <t>College of Arts and Sciences</t>
  </si>
  <si>
    <t>Facilitation of Student Mobility, Facilitation of Virtual Student Exchange</t>
  </si>
  <si>
    <t xml:space="preserve">CAS </t>
  </si>
  <si>
    <t>CTE</t>
  </si>
  <si>
    <t>very good!</t>
  </si>
  <si>
    <t>Very nice! The Office of Internationalization and Global Engagement has given me a lot of opportunities to further my academic and leadership endeavors.</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</si>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</sst>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1.0"/>
      <color rgb="FFE6E8F0"/>
      <name val="Monospace"/>
    </font>
    <font>
      <color theme="1"/>
      <name val="Arial"/>
      <scheme val="minor"/>
    </font>
    <font>
      <b/>
      <color theme="1"/>
      <name val="Arial"/>
      <scheme val="minor"/>
    </font>
  </fonts>
  <fills count="3">
    <fill>
      <patternFill patternType="none"/>
    </fill>
    <fill>
      <patternFill patternType="lightGray"/>
    </fill>
    <fill>
      <patternFill patternType="solid">
        <fgColor rgb="FF1D1E26"/>
        <bgColor rgb="FF1D1E26"/>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164" xfId="0" applyFill="1" applyFont="1" applyNumberFormat="1"/>
    <xf borderId="0" fillId="0" fontId="2" numFmtId="0" xfId="0" applyFont="1"/>
    <xf borderId="0" fillId="0" fontId="2" numFmtId="164" xfId="0" applyFont="1" applyNumberForma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4"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69"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Office of International Programs "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8" width="37.63"/>
    <col customWidth="1" min="19" max="24" width="18.88"/>
  </cols>
  <sheetData>
    <row r="1" ht="22.5" customHeight="1">
      <c r="A1" s="4" t="s">
        <v>0</v>
      </c>
      <c r="B1" s="4" t="s">
        <v>1</v>
      </c>
      <c r="C1" s="4" t="s">
        <v>2</v>
      </c>
      <c r="D1" s="4" t="s">
        <v>3</v>
      </c>
      <c r="E1" s="4" t="s">
        <v>4</v>
      </c>
      <c r="F1" s="4" t="s">
        <v>5</v>
      </c>
      <c r="G1" s="4" t="s">
        <v>6</v>
      </c>
      <c r="H1" s="5" t="s">
        <v>7</v>
      </c>
      <c r="I1" s="5" t="s">
        <v>8</v>
      </c>
      <c r="J1" s="5" t="s">
        <v>9</v>
      </c>
      <c r="K1" s="5" t="s">
        <v>10</v>
      </c>
      <c r="L1" s="5" t="s">
        <v>11</v>
      </c>
      <c r="M1" s="5" t="s">
        <v>12</v>
      </c>
      <c r="N1" s="5" t="s">
        <v>13</v>
      </c>
      <c r="O1" s="5" t="s">
        <v>14</v>
      </c>
      <c r="P1" s="4" t="s">
        <v>15</v>
      </c>
      <c r="Q1" s="5" t="s">
        <v>16</v>
      </c>
      <c r="R1" s="4" t="s">
        <v>17</v>
      </c>
    </row>
    <row r="2" ht="22.5" customHeight="1">
      <c r="A2" s="6">
        <v>45978.77339736111</v>
      </c>
      <c r="B2" s="7" t="s">
        <v>18</v>
      </c>
      <c r="C2" s="8">
        <v>45975.0</v>
      </c>
      <c r="D2" s="7" t="s">
        <v>19</v>
      </c>
      <c r="E2" s="7" t="s">
        <v>20</v>
      </c>
      <c r="F2" s="7" t="s">
        <v>21</v>
      </c>
      <c r="G2" s="7" t="s">
        <v>22</v>
      </c>
      <c r="H2" s="7">
        <v>5.0</v>
      </c>
      <c r="I2" s="7">
        <v>5.0</v>
      </c>
      <c r="J2" s="7">
        <v>5.0</v>
      </c>
      <c r="K2" s="7">
        <v>5.0</v>
      </c>
      <c r="L2" s="7">
        <v>5.0</v>
      </c>
      <c r="M2" s="7">
        <v>5.0</v>
      </c>
      <c r="N2" s="7">
        <v>5.0</v>
      </c>
      <c r="O2" s="7">
        <v>5.0</v>
      </c>
      <c r="P2" s="7">
        <v>10.0</v>
      </c>
      <c r="Q2" s="7" t="s">
        <v>23</v>
      </c>
      <c r="R2" s="7" t="s">
        <v>24</v>
      </c>
    </row>
    <row r="3" ht="22.5" customHeight="1">
      <c r="A3" s="6">
        <v>45978.77845675926</v>
      </c>
      <c r="B3" s="7" t="s">
        <v>18</v>
      </c>
      <c r="C3" s="8">
        <v>45973.0</v>
      </c>
      <c r="D3" s="7" t="s">
        <v>19</v>
      </c>
      <c r="E3" s="7" t="s">
        <v>25</v>
      </c>
      <c r="F3" s="7" t="s">
        <v>26</v>
      </c>
      <c r="G3" s="7" t="s">
        <v>22</v>
      </c>
      <c r="H3" s="7">
        <v>5.0</v>
      </c>
      <c r="I3" s="7">
        <v>5.0</v>
      </c>
      <c r="J3" s="7">
        <v>5.0</v>
      </c>
      <c r="K3" s="7">
        <v>5.0</v>
      </c>
      <c r="L3" s="7">
        <v>5.0</v>
      </c>
      <c r="M3" s="7">
        <v>5.0</v>
      </c>
      <c r="N3" s="7">
        <v>5.0</v>
      </c>
      <c r="O3" s="7">
        <v>5.0</v>
      </c>
      <c r="P3" s="7">
        <v>10.0</v>
      </c>
      <c r="Q3" s="7" t="s">
        <v>27</v>
      </c>
      <c r="R3" s="7" t="s">
        <v>28</v>
      </c>
    </row>
    <row r="4" ht="22.5" customHeight="1">
      <c r="A4" s="9">
        <v>45981.589954201394</v>
      </c>
      <c r="B4" s="10" t="s">
        <v>18</v>
      </c>
      <c r="C4" s="11">
        <v>45981.0</v>
      </c>
      <c r="D4" s="10" t="s">
        <v>29</v>
      </c>
      <c r="E4" s="10" t="s">
        <v>30</v>
      </c>
      <c r="F4" s="10" t="s">
        <v>26</v>
      </c>
      <c r="G4" s="7" t="s">
        <v>31</v>
      </c>
      <c r="H4" s="7">
        <v>5.0</v>
      </c>
      <c r="I4" s="7">
        <v>5.0</v>
      </c>
      <c r="J4" s="7">
        <v>5.0</v>
      </c>
      <c r="K4" s="7">
        <v>5.0</v>
      </c>
      <c r="L4" s="7">
        <v>5.0</v>
      </c>
      <c r="M4" s="7">
        <v>5.0</v>
      </c>
      <c r="N4" s="7">
        <v>5.0</v>
      </c>
      <c r="O4" s="7">
        <v>5.0</v>
      </c>
      <c r="P4" s="7">
        <v>10.0</v>
      </c>
      <c r="Q4" s="7" t="s">
        <v>32</v>
      </c>
      <c r="R4" s="7" t="s">
        <v>33</v>
      </c>
    </row>
    <row r="5" ht="22.5" customHeight="1">
      <c r="A5" s="9">
        <v>45981.59551936343</v>
      </c>
      <c r="B5" s="10" t="s">
        <v>18</v>
      </c>
      <c r="C5" s="11">
        <v>45981.0</v>
      </c>
      <c r="D5" s="10" t="s">
        <v>34</v>
      </c>
      <c r="E5" s="10" t="s">
        <v>35</v>
      </c>
      <c r="F5" s="10" t="s">
        <v>21</v>
      </c>
      <c r="G5" s="7" t="s">
        <v>36</v>
      </c>
      <c r="H5" s="7">
        <v>4.0</v>
      </c>
      <c r="I5" s="7">
        <v>4.0</v>
      </c>
      <c r="J5" s="7">
        <v>4.0</v>
      </c>
      <c r="K5" s="7">
        <v>5.0</v>
      </c>
      <c r="L5" s="7">
        <v>3.0</v>
      </c>
      <c r="M5" s="7">
        <v>5.0</v>
      </c>
      <c r="N5" s="7">
        <v>4.0</v>
      </c>
      <c r="O5" s="7">
        <v>4.0</v>
      </c>
      <c r="P5" s="7">
        <v>8.0</v>
      </c>
      <c r="Q5" s="7" t="s">
        <v>37</v>
      </c>
      <c r="R5" s="7" t="s">
        <v>38</v>
      </c>
    </row>
    <row r="6" ht="22.5" customHeight="1">
      <c r="A6" s="12">
        <v>46000.8305684838</v>
      </c>
      <c r="B6" s="13" t="s">
        <v>18</v>
      </c>
      <c r="C6" s="14">
        <v>45989.0</v>
      </c>
      <c r="D6" s="13" t="s">
        <v>19</v>
      </c>
      <c r="E6" s="13" t="s">
        <v>39</v>
      </c>
      <c r="F6" s="13" t="s">
        <v>21</v>
      </c>
      <c r="G6" s="13" t="s">
        <v>40</v>
      </c>
      <c r="H6" s="13">
        <v>5.0</v>
      </c>
      <c r="I6" s="13">
        <v>5.0</v>
      </c>
      <c r="J6" s="13">
        <v>5.0</v>
      </c>
      <c r="K6" s="13">
        <v>5.0</v>
      </c>
      <c r="L6" s="13">
        <v>5.0</v>
      </c>
      <c r="N6" s="13">
        <v>5.0</v>
      </c>
      <c r="O6" s="13">
        <v>5.0</v>
      </c>
      <c r="P6" s="13">
        <v>10.0</v>
      </c>
    </row>
    <row r="7" ht="22.5" customHeight="1">
      <c r="A7" s="12">
        <v>46052.46236327547</v>
      </c>
      <c r="B7" s="13" t="s">
        <v>18</v>
      </c>
      <c r="C7" s="14">
        <v>46034.0</v>
      </c>
      <c r="D7" s="13" t="s">
        <v>19</v>
      </c>
      <c r="E7" s="13" t="s">
        <v>41</v>
      </c>
      <c r="F7" s="13" t="s">
        <v>26</v>
      </c>
      <c r="G7" s="13" t="s">
        <v>22</v>
      </c>
      <c r="H7" s="13">
        <v>5.0</v>
      </c>
      <c r="I7" s="13">
        <v>5.0</v>
      </c>
      <c r="J7" s="13">
        <v>5.0</v>
      </c>
      <c r="K7" s="13">
        <v>5.0</v>
      </c>
      <c r="L7" s="13">
        <v>5.0</v>
      </c>
      <c r="M7" s="13">
        <v>5.0</v>
      </c>
      <c r="N7" s="13">
        <v>5.0</v>
      </c>
      <c r="O7" s="13">
        <v>5.0</v>
      </c>
      <c r="P7" s="13">
        <v>10.0</v>
      </c>
    </row>
    <row r="8" ht="22.5" customHeight="1">
      <c r="A8" s="15">
        <v>46052.72069883102</v>
      </c>
      <c r="B8" s="16" t="s">
        <v>18</v>
      </c>
      <c r="C8" s="17">
        <v>46052.0</v>
      </c>
      <c r="D8" s="16" t="s">
        <v>29</v>
      </c>
      <c r="E8" s="16" t="s">
        <v>42</v>
      </c>
      <c r="F8" s="16" t="s">
        <v>26</v>
      </c>
      <c r="G8" s="13" t="s">
        <v>31</v>
      </c>
      <c r="H8" s="13">
        <v>5.0</v>
      </c>
      <c r="I8" s="13">
        <v>5.0</v>
      </c>
      <c r="J8" s="13">
        <v>5.0</v>
      </c>
      <c r="K8" s="13">
        <v>5.0</v>
      </c>
      <c r="L8" s="13">
        <v>5.0</v>
      </c>
      <c r="M8" s="13">
        <v>5.0</v>
      </c>
      <c r="N8" s="13">
        <v>5.0</v>
      </c>
      <c r="O8" s="13">
        <v>5.0</v>
      </c>
      <c r="P8" s="13">
        <v>10.0</v>
      </c>
      <c r="Q8" s="13" t="s">
        <v>43</v>
      </c>
      <c r="R8" s="13" t="s">
        <v>44</v>
      </c>
    </row>
    <row r="9" ht="22.5" customHeight="1">
      <c r="A9" s="12">
        <v>46052.75628908565</v>
      </c>
      <c r="B9" s="13" t="s">
        <v>18</v>
      </c>
      <c r="C9" s="14">
        <v>46052.0</v>
      </c>
      <c r="D9" s="13" t="s">
        <v>19</v>
      </c>
      <c r="F9" s="13" t="s">
        <v>26</v>
      </c>
      <c r="G9" s="13" t="s">
        <v>22</v>
      </c>
      <c r="H9" s="13">
        <v>5.0</v>
      </c>
      <c r="I9" s="13">
        <v>5.0</v>
      </c>
      <c r="J9" s="13">
        <v>5.0</v>
      </c>
      <c r="K9" s="13">
        <v>5.0</v>
      </c>
      <c r="L9" s="13">
        <v>4.0</v>
      </c>
      <c r="M9" s="13">
        <v>5.0</v>
      </c>
      <c r="N9" s="13">
        <v>5.0</v>
      </c>
      <c r="O9" s="13">
        <v>5.0</v>
      </c>
      <c r="P9" s="13">
        <v>10.0</v>
      </c>
    </row>
    <row r="10" ht="22.5" customHeight="1">
      <c r="A10" s="12">
        <v>46073.47851554398</v>
      </c>
      <c r="B10" s="13" t="s">
        <v>18</v>
      </c>
      <c r="C10" s="14">
        <v>46073.0</v>
      </c>
      <c r="D10" s="13" t="s">
        <v>19</v>
      </c>
      <c r="E10" s="13" t="s">
        <v>39</v>
      </c>
      <c r="F10" s="13" t="s">
        <v>21</v>
      </c>
      <c r="G10" s="13" t="s">
        <v>45</v>
      </c>
      <c r="H10" s="13">
        <v>5.0</v>
      </c>
      <c r="I10" s="13">
        <v>5.0</v>
      </c>
      <c r="J10" s="13">
        <v>5.0</v>
      </c>
      <c r="K10" s="13">
        <v>5.0</v>
      </c>
      <c r="L10" s="13">
        <v>5.0</v>
      </c>
      <c r="M10" s="13">
        <v>5.0</v>
      </c>
      <c r="N10" s="13">
        <v>5.0</v>
      </c>
      <c r="O10" s="13">
        <v>5.0</v>
      </c>
      <c r="P10" s="13">
        <v>10.0</v>
      </c>
      <c r="Q10" s="13" t="s">
        <v>28</v>
      </c>
      <c r="R10" s="13" t="s">
        <v>28</v>
      </c>
    </row>
    <row r="11" ht="22.5" customHeight="1">
      <c r="A11" s="15">
        <v>46076.60774821759</v>
      </c>
      <c r="B11" s="16" t="s">
        <v>18</v>
      </c>
      <c r="C11" s="17">
        <v>46062.0</v>
      </c>
      <c r="D11" s="16" t="s">
        <v>29</v>
      </c>
      <c r="E11" s="16" t="s">
        <v>46</v>
      </c>
      <c r="F11" s="16" t="s">
        <v>26</v>
      </c>
      <c r="G11" s="13" t="s">
        <v>31</v>
      </c>
      <c r="H11" s="13">
        <v>5.0</v>
      </c>
      <c r="I11" s="13">
        <v>5.0</v>
      </c>
      <c r="J11" s="13">
        <v>4.0</v>
      </c>
      <c r="K11" s="13">
        <v>5.0</v>
      </c>
      <c r="L11" s="13">
        <v>5.0</v>
      </c>
      <c r="M11" s="13">
        <v>5.0</v>
      </c>
      <c r="N11" s="13">
        <v>5.0</v>
      </c>
      <c r="O11" s="13">
        <v>5.0</v>
      </c>
      <c r="P11" s="13">
        <v>10.0</v>
      </c>
    </row>
    <row r="12" ht="22.5" customHeight="1">
      <c r="A12" s="12">
        <v>46077.38355130787</v>
      </c>
      <c r="B12" s="13" t="s">
        <v>18</v>
      </c>
      <c r="C12" s="14">
        <v>46076.0</v>
      </c>
      <c r="D12" s="13" t="s">
        <v>19</v>
      </c>
      <c r="F12" s="13" t="s">
        <v>26</v>
      </c>
      <c r="G12" s="13" t="s">
        <v>40</v>
      </c>
      <c r="H12" s="13">
        <v>5.0</v>
      </c>
      <c r="I12" s="13">
        <v>5.0</v>
      </c>
      <c r="J12" s="13">
        <v>5.0</v>
      </c>
      <c r="K12" s="13">
        <v>5.0</v>
      </c>
      <c r="L12" s="13">
        <v>4.0</v>
      </c>
      <c r="M12" s="13">
        <v>5.0</v>
      </c>
      <c r="N12" s="13">
        <v>4.0</v>
      </c>
      <c r="O12" s="13">
        <v>5.0</v>
      </c>
      <c r="P12" s="13">
        <v>8.0</v>
      </c>
    </row>
    <row r="13" ht="22.5" customHeight="1">
      <c r="A13" s="12">
        <v>46079.379161053235</v>
      </c>
      <c r="B13" s="13" t="s">
        <v>18</v>
      </c>
      <c r="C13" s="14">
        <v>46079.0</v>
      </c>
      <c r="D13" s="13" t="s">
        <v>19</v>
      </c>
      <c r="F13" s="13" t="s">
        <v>47</v>
      </c>
      <c r="G13" s="13" t="s">
        <v>22</v>
      </c>
      <c r="H13" s="13">
        <v>5.0</v>
      </c>
      <c r="I13" s="13">
        <v>5.0</v>
      </c>
      <c r="J13" s="13">
        <v>5.0</v>
      </c>
      <c r="K13" s="13">
        <v>5.0</v>
      </c>
      <c r="L13" s="13">
        <v>5.0</v>
      </c>
      <c r="M13" s="13">
        <v>5.0</v>
      </c>
      <c r="N13" s="13">
        <v>5.0</v>
      </c>
      <c r="O13" s="13">
        <v>5.0</v>
      </c>
      <c r="P13" s="13">
        <v>9.0</v>
      </c>
    </row>
    <row r="14" ht="22.5" customHeight="1">
      <c r="A14" s="12">
        <v>46079.37972778935</v>
      </c>
      <c r="B14" s="13" t="s">
        <v>18</v>
      </c>
      <c r="C14" s="14">
        <v>46079.0</v>
      </c>
      <c r="D14" s="13" t="s">
        <v>19</v>
      </c>
      <c r="E14" s="13" t="s">
        <v>48</v>
      </c>
      <c r="F14" s="13" t="s">
        <v>26</v>
      </c>
      <c r="G14" s="13" t="s">
        <v>22</v>
      </c>
      <c r="H14" s="13">
        <v>5.0</v>
      </c>
      <c r="I14" s="13">
        <v>5.0</v>
      </c>
      <c r="J14" s="13">
        <v>5.0</v>
      </c>
      <c r="K14" s="13">
        <v>4.0</v>
      </c>
      <c r="L14" s="13">
        <v>5.0</v>
      </c>
      <c r="M14" s="13">
        <v>4.0</v>
      </c>
      <c r="N14" s="13">
        <v>5.0</v>
      </c>
      <c r="O14" s="13">
        <v>5.0</v>
      </c>
      <c r="P14" s="13">
        <v>7.0</v>
      </c>
      <c r="Q14" s="13" t="s">
        <v>28</v>
      </c>
      <c r="R14" s="13" t="s">
        <v>28</v>
      </c>
    </row>
    <row r="15" ht="22.5" customHeight="1">
      <c r="A15" s="12">
        <v>46079.38032115741</v>
      </c>
      <c r="B15" s="13" t="s">
        <v>18</v>
      </c>
      <c r="C15" s="14">
        <v>46079.0</v>
      </c>
      <c r="D15" s="13" t="s">
        <v>19</v>
      </c>
      <c r="F15" s="13" t="s">
        <v>26</v>
      </c>
      <c r="G15" s="13" t="s">
        <v>22</v>
      </c>
      <c r="H15" s="13">
        <v>5.0</v>
      </c>
      <c r="I15" s="13">
        <v>5.0</v>
      </c>
      <c r="J15" s="13">
        <v>5.0</v>
      </c>
      <c r="K15" s="13">
        <v>5.0</v>
      </c>
      <c r="L15" s="13">
        <v>5.0</v>
      </c>
      <c r="M15" s="13">
        <v>5.0</v>
      </c>
      <c r="N15" s="13">
        <v>5.0</v>
      </c>
      <c r="O15" s="13">
        <v>5.0</v>
      </c>
      <c r="P15" s="13">
        <v>10.0</v>
      </c>
      <c r="Q15" s="13" t="s">
        <v>49</v>
      </c>
    </row>
    <row r="16" ht="22.5" customHeight="1">
      <c r="A16" s="12">
        <v>46079.38040596065</v>
      </c>
      <c r="B16" s="13" t="s">
        <v>18</v>
      </c>
      <c r="C16" s="14">
        <v>46079.0</v>
      </c>
      <c r="D16" s="13" t="s">
        <v>19</v>
      </c>
      <c r="F16" s="13" t="s">
        <v>26</v>
      </c>
      <c r="G16" s="13" t="s">
        <v>22</v>
      </c>
      <c r="H16" s="13">
        <v>3.0</v>
      </c>
      <c r="I16" s="13">
        <v>3.0</v>
      </c>
      <c r="J16" s="13">
        <v>3.0</v>
      </c>
      <c r="K16" s="13">
        <v>2.0</v>
      </c>
      <c r="L16" s="13">
        <v>2.0</v>
      </c>
      <c r="M16" s="13">
        <v>3.0</v>
      </c>
      <c r="N16" s="13">
        <v>2.0</v>
      </c>
      <c r="O16" s="13">
        <v>3.0</v>
      </c>
      <c r="P16" s="13">
        <v>5.0</v>
      </c>
      <c r="Q16" s="13" t="s">
        <v>50</v>
      </c>
      <c r="R16" s="13" t="s">
        <v>50</v>
      </c>
    </row>
    <row r="17" ht="22.5" customHeight="1">
      <c r="A17" s="12">
        <v>46079.38089134259</v>
      </c>
      <c r="B17" s="13" t="s">
        <v>18</v>
      </c>
      <c r="C17" s="14">
        <v>38704.0</v>
      </c>
      <c r="D17" s="13" t="s">
        <v>19</v>
      </c>
      <c r="F17" s="13" t="s">
        <v>26</v>
      </c>
      <c r="G17" s="13" t="s">
        <v>22</v>
      </c>
      <c r="H17" s="13">
        <v>3.0</v>
      </c>
      <c r="I17" s="13">
        <v>3.0</v>
      </c>
      <c r="J17" s="13">
        <v>3.0</v>
      </c>
      <c r="K17" s="13">
        <v>3.0</v>
      </c>
      <c r="L17" s="13">
        <v>3.0</v>
      </c>
      <c r="M17" s="13">
        <v>3.0</v>
      </c>
      <c r="N17" s="13">
        <v>3.0</v>
      </c>
      <c r="O17" s="13">
        <v>3.0</v>
      </c>
      <c r="P17" s="13">
        <v>5.0</v>
      </c>
      <c r="Q17" s="13" t="s">
        <v>51</v>
      </c>
      <c r="R17" s="13" t="s">
        <v>52</v>
      </c>
    </row>
    <row r="18" ht="22.5" customHeight="1">
      <c r="A18" s="12">
        <v>46079.38393696759</v>
      </c>
      <c r="B18" s="13" t="s">
        <v>18</v>
      </c>
      <c r="C18" s="14">
        <v>46079.0</v>
      </c>
      <c r="D18" s="13" t="s">
        <v>19</v>
      </c>
      <c r="F18" s="13" t="s">
        <v>26</v>
      </c>
      <c r="G18" s="13" t="s">
        <v>53</v>
      </c>
      <c r="H18" s="13">
        <v>5.0</v>
      </c>
      <c r="I18" s="13">
        <v>4.0</v>
      </c>
      <c r="J18" s="13">
        <v>3.0</v>
      </c>
      <c r="K18" s="13">
        <v>3.0</v>
      </c>
      <c r="L18" s="13">
        <v>3.0</v>
      </c>
      <c r="M18" s="13">
        <v>4.0</v>
      </c>
      <c r="N18" s="13">
        <v>4.0</v>
      </c>
      <c r="O18" s="13">
        <v>4.0</v>
      </c>
      <c r="P18" s="13">
        <v>7.0</v>
      </c>
      <c r="Q18" s="13" t="s">
        <v>54</v>
      </c>
      <c r="R18" s="13" t="s">
        <v>55</v>
      </c>
    </row>
    <row r="19" ht="22.5" customHeight="1">
      <c r="A19" s="12">
        <v>46079.402525694444</v>
      </c>
      <c r="B19" s="13" t="s">
        <v>18</v>
      </c>
      <c r="C19" s="14">
        <v>46079.0</v>
      </c>
      <c r="D19" s="13" t="s">
        <v>19</v>
      </c>
      <c r="F19" s="13" t="s">
        <v>26</v>
      </c>
      <c r="G19" s="13" t="s">
        <v>22</v>
      </c>
      <c r="H19" s="13">
        <v>3.0</v>
      </c>
      <c r="I19" s="13">
        <v>4.0</v>
      </c>
      <c r="J19" s="13">
        <v>3.0</v>
      </c>
      <c r="K19" s="13">
        <v>4.0</v>
      </c>
      <c r="L19" s="13">
        <v>3.0</v>
      </c>
      <c r="M19" s="13">
        <v>3.0</v>
      </c>
      <c r="N19" s="13">
        <v>4.0</v>
      </c>
      <c r="O19" s="13">
        <v>4.0</v>
      </c>
      <c r="P19" s="13">
        <v>7.0</v>
      </c>
    </row>
    <row r="20" ht="22.5" customHeight="1">
      <c r="A20" s="12">
        <v>46079.404533506946</v>
      </c>
      <c r="B20" s="13" t="s">
        <v>18</v>
      </c>
      <c r="C20" s="14">
        <v>46079.0</v>
      </c>
      <c r="D20" s="13" t="s">
        <v>19</v>
      </c>
      <c r="F20" s="13" t="s">
        <v>26</v>
      </c>
      <c r="G20" s="13" t="s">
        <v>22</v>
      </c>
      <c r="H20" s="13">
        <v>3.0</v>
      </c>
      <c r="I20" s="13">
        <v>4.0</v>
      </c>
      <c r="J20" s="13">
        <v>5.0</v>
      </c>
      <c r="K20" s="13">
        <v>2.0</v>
      </c>
      <c r="L20" s="13">
        <v>3.0</v>
      </c>
      <c r="M20" s="13">
        <v>4.0</v>
      </c>
      <c r="N20" s="13">
        <v>3.0</v>
      </c>
      <c r="O20" s="13">
        <v>4.0</v>
      </c>
      <c r="P20" s="13">
        <v>6.0</v>
      </c>
      <c r="Q20" s="13" t="s">
        <v>56</v>
      </c>
      <c r="R20" s="13" t="s">
        <v>57</v>
      </c>
    </row>
    <row r="21" ht="22.5" customHeight="1">
      <c r="A21" s="12">
        <v>46079.40543678241</v>
      </c>
      <c r="B21" s="13" t="s">
        <v>18</v>
      </c>
      <c r="C21" s="14" t="s">
        <v>58</v>
      </c>
      <c r="D21" s="13" t="s">
        <v>19</v>
      </c>
      <c r="F21" s="13" t="s">
        <v>26</v>
      </c>
      <c r="G21" s="13" t="s">
        <v>22</v>
      </c>
      <c r="H21" s="13">
        <v>4.0</v>
      </c>
      <c r="I21" s="13">
        <v>4.0</v>
      </c>
      <c r="J21" s="13">
        <v>4.0</v>
      </c>
      <c r="K21" s="13">
        <v>5.0</v>
      </c>
      <c r="L21" s="13">
        <v>4.0</v>
      </c>
      <c r="M21" s="13">
        <v>4.0</v>
      </c>
      <c r="N21" s="13">
        <v>5.0</v>
      </c>
      <c r="O21" s="13">
        <v>4.0</v>
      </c>
      <c r="P21" s="13">
        <v>7.0</v>
      </c>
    </row>
    <row r="22" ht="22.5" customHeight="1">
      <c r="A22" s="12">
        <v>46079.40565435185</v>
      </c>
      <c r="B22" s="13" t="s">
        <v>18</v>
      </c>
      <c r="C22" s="14">
        <v>46079.0</v>
      </c>
      <c r="D22" s="13" t="s">
        <v>19</v>
      </c>
      <c r="F22" s="13" t="s">
        <v>26</v>
      </c>
      <c r="G22" s="13" t="s">
        <v>22</v>
      </c>
      <c r="H22" s="13">
        <v>4.0</v>
      </c>
      <c r="I22" s="13">
        <v>4.0</v>
      </c>
      <c r="J22" s="13">
        <v>4.0</v>
      </c>
      <c r="K22" s="13">
        <v>4.0</v>
      </c>
      <c r="L22" s="13">
        <v>3.0</v>
      </c>
      <c r="M22" s="13">
        <v>4.0</v>
      </c>
      <c r="N22" s="13">
        <v>4.0</v>
      </c>
      <c r="O22" s="13">
        <v>4.0</v>
      </c>
      <c r="P22" s="13">
        <v>8.0</v>
      </c>
      <c r="Q22" s="13" t="s">
        <v>59</v>
      </c>
      <c r="R22" s="13" t="s">
        <v>60</v>
      </c>
    </row>
    <row r="23" ht="22.5" customHeight="1">
      <c r="A23" s="12">
        <v>46079.40683291666</v>
      </c>
      <c r="B23" s="13" t="s">
        <v>18</v>
      </c>
      <c r="C23" s="14" t="s">
        <v>61</v>
      </c>
      <c r="D23" s="13" t="s">
        <v>19</v>
      </c>
      <c r="F23" s="13" t="s">
        <v>26</v>
      </c>
      <c r="G23" s="13" t="s">
        <v>22</v>
      </c>
      <c r="H23" s="13">
        <v>2.0</v>
      </c>
      <c r="I23" s="13">
        <v>3.0</v>
      </c>
      <c r="J23" s="13">
        <v>3.0</v>
      </c>
      <c r="K23" s="13">
        <v>3.0</v>
      </c>
      <c r="L23" s="13">
        <v>2.0</v>
      </c>
      <c r="M23" s="13">
        <v>3.0</v>
      </c>
      <c r="N23" s="13">
        <v>3.0</v>
      </c>
      <c r="O23" s="13">
        <v>2.0</v>
      </c>
      <c r="P23" s="13">
        <v>3.0</v>
      </c>
    </row>
    <row r="24" ht="22.5" customHeight="1">
      <c r="A24" s="12">
        <v>46079.40696496528</v>
      </c>
      <c r="B24" s="13" t="s">
        <v>18</v>
      </c>
      <c r="C24" s="14">
        <v>38923.0</v>
      </c>
      <c r="D24" s="13" t="s">
        <v>19</v>
      </c>
      <c r="E24" s="13" t="s">
        <v>62</v>
      </c>
      <c r="F24" s="13" t="s">
        <v>26</v>
      </c>
      <c r="G24" s="13" t="s">
        <v>22</v>
      </c>
      <c r="H24" s="13">
        <v>4.0</v>
      </c>
      <c r="I24" s="13">
        <v>3.0</v>
      </c>
      <c r="J24" s="13">
        <v>4.0</v>
      </c>
      <c r="K24" s="13">
        <v>3.0</v>
      </c>
      <c r="L24" s="13">
        <v>3.0</v>
      </c>
      <c r="M24" s="13">
        <v>4.0</v>
      </c>
      <c r="N24" s="13">
        <v>5.0</v>
      </c>
      <c r="O24" s="13">
        <v>4.0</v>
      </c>
      <c r="P24" s="13">
        <v>5.0</v>
      </c>
    </row>
    <row r="25" ht="22.5" customHeight="1">
      <c r="A25" s="12">
        <v>46079.40698321759</v>
      </c>
      <c r="B25" s="13" t="s">
        <v>18</v>
      </c>
      <c r="C25" s="14">
        <v>46079.0</v>
      </c>
      <c r="D25" s="13" t="s">
        <v>19</v>
      </c>
      <c r="E25" s="13" t="s">
        <v>63</v>
      </c>
      <c r="F25" s="13" t="s">
        <v>26</v>
      </c>
      <c r="G25" s="13" t="s">
        <v>53</v>
      </c>
      <c r="H25" s="13">
        <v>4.0</v>
      </c>
      <c r="I25" s="13">
        <v>5.0</v>
      </c>
      <c r="J25" s="13">
        <v>5.0</v>
      </c>
      <c r="K25" s="13">
        <v>5.0</v>
      </c>
      <c r="L25" s="13">
        <v>3.0</v>
      </c>
      <c r="M25" s="13">
        <v>4.0</v>
      </c>
      <c r="N25" s="13">
        <v>4.0</v>
      </c>
      <c r="O25" s="13">
        <v>4.0</v>
      </c>
      <c r="P25" s="13">
        <v>9.0</v>
      </c>
    </row>
    <row r="26" ht="22.5" customHeight="1">
      <c r="A26" s="12">
        <v>46079.407721435186</v>
      </c>
      <c r="B26" s="13" t="s">
        <v>18</v>
      </c>
      <c r="C26" s="14">
        <v>46079.0</v>
      </c>
      <c r="D26" s="13" t="s">
        <v>19</v>
      </c>
      <c r="F26" s="13" t="s">
        <v>26</v>
      </c>
      <c r="G26" s="13" t="s">
        <v>22</v>
      </c>
      <c r="H26" s="13">
        <v>4.0</v>
      </c>
      <c r="I26" s="13">
        <v>4.0</v>
      </c>
      <c r="J26" s="13">
        <v>3.0</v>
      </c>
      <c r="K26" s="13">
        <v>3.0</v>
      </c>
      <c r="L26" s="13">
        <v>3.0</v>
      </c>
      <c r="M26" s="13">
        <v>3.0</v>
      </c>
      <c r="N26" s="13">
        <v>4.0</v>
      </c>
      <c r="O26" s="13">
        <v>4.0</v>
      </c>
      <c r="P26" s="13">
        <v>8.0</v>
      </c>
    </row>
    <row r="27" ht="22.5" customHeight="1">
      <c r="A27" s="12">
        <v>46079.40800891204</v>
      </c>
      <c r="B27" s="13" t="s">
        <v>18</v>
      </c>
      <c r="C27" s="14">
        <v>46079.0</v>
      </c>
      <c r="D27" s="13" t="s">
        <v>19</v>
      </c>
      <c r="E27" s="13" t="s">
        <v>64</v>
      </c>
      <c r="F27" s="13" t="s">
        <v>26</v>
      </c>
      <c r="G27" s="13" t="s">
        <v>31</v>
      </c>
      <c r="H27" s="13">
        <v>1.0</v>
      </c>
      <c r="I27" s="13">
        <v>2.0</v>
      </c>
      <c r="J27" s="13">
        <v>2.0</v>
      </c>
      <c r="K27" s="13">
        <v>1.0</v>
      </c>
      <c r="L27" s="13">
        <v>1.0</v>
      </c>
      <c r="M27" s="13">
        <v>1.0</v>
      </c>
      <c r="N27" s="13">
        <v>1.0</v>
      </c>
      <c r="O27" s="13">
        <v>1.0</v>
      </c>
      <c r="P27" s="13">
        <v>1.0</v>
      </c>
    </row>
    <row r="28" ht="22.5" customHeight="1">
      <c r="A28" s="12">
        <v>46079.409432824075</v>
      </c>
      <c r="B28" s="13" t="s">
        <v>18</v>
      </c>
      <c r="C28" s="14">
        <v>46079.0</v>
      </c>
      <c r="D28" s="13" t="s">
        <v>19</v>
      </c>
      <c r="F28" s="13" t="s">
        <v>21</v>
      </c>
      <c r="G28" s="13" t="s">
        <v>22</v>
      </c>
      <c r="H28" s="13">
        <v>3.0</v>
      </c>
      <c r="I28" s="13">
        <v>3.0</v>
      </c>
      <c r="J28" s="13">
        <v>3.0</v>
      </c>
      <c r="K28" s="13">
        <v>3.0</v>
      </c>
      <c r="L28" s="13">
        <v>4.0</v>
      </c>
      <c r="M28" s="13">
        <v>4.0</v>
      </c>
      <c r="N28" s="13">
        <v>4.0</v>
      </c>
      <c r="O28" s="13">
        <v>4.0</v>
      </c>
      <c r="P28" s="13">
        <v>9.0</v>
      </c>
    </row>
    <row r="29" ht="22.5" customHeight="1">
      <c r="A29" s="12">
        <v>46079.40971960648</v>
      </c>
      <c r="B29" s="13" t="s">
        <v>18</v>
      </c>
      <c r="C29" s="14">
        <v>46079.0</v>
      </c>
      <c r="D29" s="13" t="s">
        <v>19</v>
      </c>
      <c r="E29" s="13" t="s">
        <v>48</v>
      </c>
      <c r="F29" s="13" t="s">
        <v>26</v>
      </c>
      <c r="G29" s="13" t="s">
        <v>22</v>
      </c>
      <c r="H29" s="13">
        <v>3.0</v>
      </c>
      <c r="I29" s="13">
        <v>3.0</v>
      </c>
      <c r="J29" s="13">
        <v>2.0</v>
      </c>
      <c r="K29" s="13">
        <v>4.0</v>
      </c>
      <c r="L29" s="13">
        <v>3.0</v>
      </c>
      <c r="M29" s="13">
        <v>5.0</v>
      </c>
      <c r="N29" s="13">
        <v>4.0</v>
      </c>
      <c r="O29" s="13">
        <v>5.0</v>
      </c>
      <c r="P29" s="13">
        <v>5.0</v>
      </c>
      <c r="Q29" s="13" t="s">
        <v>65</v>
      </c>
      <c r="R29" s="13" t="s">
        <v>66</v>
      </c>
    </row>
    <row r="30" ht="22.5" customHeight="1">
      <c r="A30" s="12">
        <v>46079.41027635417</v>
      </c>
      <c r="B30" s="13" t="s">
        <v>18</v>
      </c>
      <c r="C30" s="14">
        <v>46079.0</v>
      </c>
      <c r="D30" s="13" t="s">
        <v>19</v>
      </c>
      <c r="F30" s="13" t="s">
        <v>26</v>
      </c>
      <c r="G30" s="13" t="s">
        <v>22</v>
      </c>
      <c r="H30" s="13">
        <v>4.0</v>
      </c>
      <c r="I30" s="13">
        <v>4.0</v>
      </c>
      <c r="J30" s="13">
        <v>4.0</v>
      </c>
      <c r="K30" s="13">
        <v>4.0</v>
      </c>
      <c r="L30" s="13">
        <v>4.0</v>
      </c>
      <c r="M30" s="13">
        <v>5.0</v>
      </c>
      <c r="N30" s="13">
        <v>5.0</v>
      </c>
      <c r="O30" s="13">
        <v>5.0</v>
      </c>
      <c r="P30" s="13">
        <v>8.0</v>
      </c>
      <c r="Q30" s="13" t="s">
        <v>67</v>
      </c>
      <c r="R30" s="13" t="s">
        <v>28</v>
      </c>
    </row>
    <row r="31" ht="22.5" customHeight="1">
      <c r="A31" s="12">
        <v>46079.41134194445</v>
      </c>
      <c r="B31" s="13" t="s">
        <v>18</v>
      </c>
      <c r="C31" s="14">
        <v>38798.0</v>
      </c>
      <c r="D31" s="13" t="s">
        <v>19</v>
      </c>
      <c r="F31" s="13" t="s">
        <v>26</v>
      </c>
      <c r="G31" s="13" t="s">
        <v>22</v>
      </c>
      <c r="H31" s="13">
        <v>2.0</v>
      </c>
      <c r="I31" s="13">
        <v>3.0</v>
      </c>
      <c r="J31" s="13">
        <v>3.0</v>
      </c>
      <c r="K31" s="13">
        <v>2.0</v>
      </c>
      <c r="L31" s="13">
        <v>2.0</v>
      </c>
      <c r="M31" s="13">
        <v>3.0</v>
      </c>
      <c r="N31" s="13">
        <v>4.0</v>
      </c>
      <c r="O31" s="13">
        <v>4.0</v>
      </c>
      <c r="P31" s="13">
        <v>10.0</v>
      </c>
    </row>
    <row r="32" ht="22.5" customHeight="1">
      <c r="A32" s="12">
        <v>46079.416842743056</v>
      </c>
      <c r="B32" s="13" t="s">
        <v>18</v>
      </c>
      <c r="C32" s="14">
        <v>46079.0</v>
      </c>
      <c r="D32" s="13" t="s">
        <v>19</v>
      </c>
      <c r="E32" s="13" t="s">
        <v>68</v>
      </c>
      <c r="F32" s="13" t="s">
        <v>21</v>
      </c>
      <c r="G32" s="13" t="s">
        <v>69</v>
      </c>
      <c r="H32" s="13">
        <v>3.0</v>
      </c>
      <c r="I32" s="13">
        <v>2.0</v>
      </c>
      <c r="J32" s="13">
        <v>2.0</v>
      </c>
      <c r="K32" s="13">
        <v>3.0</v>
      </c>
      <c r="L32" s="13">
        <v>3.0</v>
      </c>
      <c r="M32" s="13">
        <v>3.0</v>
      </c>
      <c r="N32" s="13">
        <v>3.0</v>
      </c>
      <c r="O32" s="13">
        <v>3.0</v>
      </c>
      <c r="P32" s="13">
        <v>5.0</v>
      </c>
      <c r="Q32" s="13" t="s">
        <v>70</v>
      </c>
      <c r="R32" s="13" t="s">
        <v>71</v>
      </c>
    </row>
    <row r="33" ht="22.5" customHeight="1">
      <c r="A33" s="12">
        <v>46079.41866686342</v>
      </c>
      <c r="B33" s="13" t="s">
        <v>18</v>
      </c>
      <c r="C33" s="14" t="s">
        <v>61</v>
      </c>
      <c r="D33" s="13" t="s">
        <v>19</v>
      </c>
      <c r="F33" s="13" t="s">
        <v>26</v>
      </c>
      <c r="G33" s="13" t="s">
        <v>22</v>
      </c>
      <c r="H33" s="13">
        <v>1.0</v>
      </c>
      <c r="I33" s="13">
        <v>1.0</v>
      </c>
      <c r="J33" s="13">
        <v>1.0</v>
      </c>
      <c r="K33" s="13">
        <v>1.0</v>
      </c>
      <c r="L33" s="13">
        <v>1.0</v>
      </c>
      <c r="M33" s="13">
        <v>1.0</v>
      </c>
      <c r="N33" s="13">
        <v>1.0</v>
      </c>
      <c r="O33" s="13">
        <v>1.0</v>
      </c>
      <c r="P33" s="13">
        <v>1.0</v>
      </c>
      <c r="Q33" s="13" t="s">
        <v>72</v>
      </c>
      <c r="R33" s="13" t="s">
        <v>50</v>
      </c>
    </row>
    <row r="34" ht="22.5" customHeight="1">
      <c r="A34" s="12">
        <v>46079.41935814815</v>
      </c>
      <c r="B34" s="13" t="s">
        <v>18</v>
      </c>
      <c r="C34" s="14">
        <v>46079.0</v>
      </c>
      <c r="D34" s="13" t="s">
        <v>19</v>
      </c>
      <c r="F34" s="13" t="s">
        <v>26</v>
      </c>
      <c r="G34" s="13" t="s">
        <v>22</v>
      </c>
      <c r="H34" s="13">
        <v>3.0</v>
      </c>
      <c r="I34" s="13">
        <v>4.0</v>
      </c>
      <c r="J34" s="13">
        <v>3.0</v>
      </c>
      <c r="K34" s="13">
        <v>4.0</v>
      </c>
      <c r="L34" s="13">
        <v>3.0</v>
      </c>
      <c r="M34" s="13">
        <v>5.0</v>
      </c>
      <c r="N34" s="13">
        <v>4.0</v>
      </c>
      <c r="O34" s="13">
        <v>4.0</v>
      </c>
      <c r="P34" s="13">
        <v>6.0</v>
      </c>
    </row>
    <row r="35" ht="22.5" customHeight="1">
      <c r="A35" s="12">
        <v>46079.42073106482</v>
      </c>
      <c r="B35" s="13" t="s">
        <v>18</v>
      </c>
      <c r="C35" s="14">
        <v>46079.0</v>
      </c>
      <c r="D35" s="13" t="s">
        <v>19</v>
      </c>
      <c r="F35" s="13" t="s">
        <v>26</v>
      </c>
      <c r="G35" s="13" t="s">
        <v>22</v>
      </c>
      <c r="H35" s="13">
        <v>3.0</v>
      </c>
      <c r="I35" s="13">
        <v>4.0</v>
      </c>
      <c r="J35" s="13">
        <v>3.0</v>
      </c>
      <c r="K35" s="13">
        <v>4.0</v>
      </c>
      <c r="L35" s="13">
        <v>3.0</v>
      </c>
      <c r="M35" s="13">
        <v>5.0</v>
      </c>
      <c r="N35" s="13">
        <v>4.0</v>
      </c>
      <c r="O35" s="13">
        <v>3.0</v>
      </c>
      <c r="P35" s="13">
        <v>7.0</v>
      </c>
    </row>
    <row r="36" ht="22.5" customHeight="1">
      <c r="A36" s="12">
        <v>46079.42297619213</v>
      </c>
      <c r="B36" s="13" t="s">
        <v>18</v>
      </c>
      <c r="C36" s="14">
        <v>46079.0</v>
      </c>
      <c r="D36" s="13" t="s">
        <v>19</v>
      </c>
      <c r="E36" s="13" t="s">
        <v>62</v>
      </c>
      <c r="F36" s="13" t="s">
        <v>26</v>
      </c>
      <c r="G36" s="13" t="s">
        <v>22</v>
      </c>
      <c r="H36" s="13">
        <v>3.0</v>
      </c>
      <c r="I36" s="13">
        <v>4.0</v>
      </c>
      <c r="J36" s="13">
        <v>3.0</v>
      </c>
      <c r="K36" s="13">
        <v>3.0</v>
      </c>
      <c r="L36" s="13">
        <v>4.0</v>
      </c>
      <c r="M36" s="13">
        <v>4.0</v>
      </c>
      <c r="N36" s="13">
        <v>3.0</v>
      </c>
      <c r="O36" s="13">
        <v>4.0</v>
      </c>
      <c r="P36" s="13">
        <v>10.0</v>
      </c>
      <c r="Q36" s="13" t="s">
        <v>73</v>
      </c>
      <c r="R36" s="13" t="s">
        <v>73</v>
      </c>
    </row>
    <row r="37" ht="22.5" customHeight="1">
      <c r="A37" s="12">
        <v>46079.42317041667</v>
      </c>
      <c r="B37" s="13" t="s">
        <v>18</v>
      </c>
      <c r="C37" s="14">
        <v>46079.0</v>
      </c>
      <c r="D37" s="13" t="s">
        <v>19</v>
      </c>
      <c r="E37" s="13" t="s">
        <v>62</v>
      </c>
      <c r="F37" s="13" t="s">
        <v>26</v>
      </c>
      <c r="G37" s="13" t="s">
        <v>22</v>
      </c>
      <c r="H37" s="13">
        <v>5.0</v>
      </c>
      <c r="I37" s="13">
        <v>5.0</v>
      </c>
      <c r="J37" s="13">
        <v>5.0</v>
      </c>
      <c r="K37" s="13">
        <v>5.0</v>
      </c>
      <c r="L37" s="13">
        <v>5.0</v>
      </c>
      <c r="M37" s="13">
        <v>5.0</v>
      </c>
      <c r="N37" s="13">
        <v>5.0</v>
      </c>
      <c r="O37" s="13">
        <v>5.0</v>
      </c>
      <c r="P37" s="13">
        <v>5.0</v>
      </c>
      <c r="Q37" s="13" t="s">
        <v>74</v>
      </c>
      <c r="R37" s="13" t="s">
        <v>75</v>
      </c>
    </row>
    <row r="38" ht="22.5" customHeight="1">
      <c r="A38" s="12">
        <v>46079.42805645833</v>
      </c>
      <c r="B38" s="13" t="s">
        <v>18</v>
      </c>
      <c r="C38" s="14">
        <v>46079.0</v>
      </c>
      <c r="D38" s="13" t="s">
        <v>19</v>
      </c>
      <c r="E38" s="13" t="s">
        <v>76</v>
      </c>
      <c r="F38" s="13" t="s">
        <v>26</v>
      </c>
      <c r="G38" s="13" t="s">
        <v>40</v>
      </c>
      <c r="H38" s="13">
        <v>5.0</v>
      </c>
      <c r="I38" s="13">
        <v>5.0</v>
      </c>
      <c r="J38" s="13">
        <v>5.0</v>
      </c>
      <c r="K38" s="13">
        <v>5.0</v>
      </c>
      <c r="L38" s="13">
        <v>4.0</v>
      </c>
      <c r="M38" s="13">
        <v>4.0</v>
      </c>
      <c r="N38" s="13">
        <v>4.0</v>
      </c>
      <c r="O38" s="13">
        <v>4.0</v>
      </c>
      <c r="P38" s="13">
        <v>10.0</v>
      </c>
      <c r="Q38" s="13" t="s">
        <v>62</v>
      </c>
      <c r="R38" s="13" t="s">
        <v>62</v>
      </c>
    </row>
    <row r="39" ht="22.5" customHeight="1">
      <c r="A39" s="12">
        <v>46079.43353537037</v>
      </c>
      <c r="B39" s="13" t="s">
        <v>18</v>
      </c>
      <c r="C39" s="14">
        <v>46079.0</v>
      </c>
      <c r="D39" s="13" t="s">
        <v>19</v>
      </c>
      <c r="E39" s="13" t="s">
        <v>77</v>
      </c>
      <c r="F39" s="13" t="s">
        <v>26</v>
      </c>
      <c r="G39" s="13" t="s">
        <v>31</v>
      </c>
      <c r="H39" s="13">
        <v>5.0</v>
      </c>
      <c r="I39" s="13">
        <v>4.0</v>
      </c>
      <c r="J39" s="13">
        <v>4.0</v>
      </c>
      <c r="K39" s="13">
        <v>4.0</v>
      </c>
      <c r="L39" s="13">
        <v>4.0</v>
      </c>
      <c r="M39" s="13">
        <v>4.0</v>
      </c>
      <c r="N39" s="13">
        <v>3.0</v>
      </c>
      <c r="O39" s="13">
        <v>4.0</v>
      </c>
      <c r="P39" s="13">
        <v>5.0</v>
      </c>
      <c r="Q39" s="13" t="s">
        <v>78</v>
      </c>
      <c r="R39" s="13" t="s">
        <v>79</v>
      </c>
    </row>
    <row r="40" ht="22.5" customHeight="1">
      <c r="A40" s="12">
        <v>46079.43412012732</v>
      </c>
      <c r="B40" s="13" t="s">
        <v>18</v>
      </c>
      <c r="C40" s="14">
        <v>46079.0</v>
      </c>
      <c r="D40" s="13" t="s">
        <v>19</v>
      </c>
      <c r="F40" s="13" t="s">
        <v>26</v>
      </c>
      <c r="G40" s="13" t="s">
        <v>22</v>
      </c>
      <c r="H40" s="13">
        <v>3.0</v>
      </c>
      <c r="I40" s="13">
        <v>3.0</v>
      </c>
      <c r="J40" s="13">
        <v>4.0</v>
      </c>
      <c r="K40" s="13">
        <v>4.0</v>
      </c>
      <c r="L40" s="13">
        <v>4.0</v>
      </c>
      <c r="M40" s="13">
        <v>4.0</v>
      </c>
      <c r="N40" s="13">
        <v>4.0</v>
      </c>
      <c r="O40" s="13">
        <v>4.0</v>
      </c>
      <c r="P40" s="13">
        <v>7.0</v>
      </c>
    </row>
    <row r="41" ht="22.5" customHeight="1">
      <c r="A41" s="12">
        <v>46079.434420011574</v>
      </c>
      <c r="B41" s="13" t="s">
        <v>18</v>
      </c>
      <c r="C41" s="14">
        <v>46079.0</v>
      </c>
      <c r="D41" s="13" t="s">
        <v>19</v>
      </c>
      <c r="E41" s="13" t="s">
        <v>48</v>
      </c>
      <c r="F41" s="13" t="s">
        <v>26</v>
      </c>
      <c r="G41" s="13" t="s">
        <v>22</v>
      </c>
      <c r="H41" s="13">
        <v>4.0</v>
      </c>
      <c r="I41" s="13">
        <v>3.0</v>
      </c>
      <c r="K41" s="13">
        <v>3.0</v>
      </c>
      <c r="M41" s="13">
        <v>4.0</v>
      </c>
      <c r="O41" s="13">
        <v>5.0</v>
      </c>
      <c r="P41" s="13">
        <v>6.0</v>
      </c>
      <c r="Q41" s="13" t="s">
        <v>80</v>
      </c>
      <c r="R41" s="13" t="s">
        <v>81</v>
      </c>
    </row>
    <row r="42" ht="22.5" customHeight="1">
      <c r="A42" s="12">
        <v>46079.43867456018</v>
      </c>
      <c r="B42" s="13" t="s">
        <v>18</v>
      </c>
      <c r="C42" s="14">
        <v>46079.0</v>
      </c>
      <c r="D42" s="13" t="s">
        <v>19</v>
      </c>
      <c r="F42" s="13" t="s">
        <v>26</v>
      </c>
      <c r="G42" s="13" t="s">
        <v>22</v>
      </c>
      <c r="H42" s="13">
        <v>4.0</v>
      </c>
      <c r="I42" s="13">
        <v>4.0</v>
      </c>
      <c r="J42" s="13">
        <v>4.0</v>
      </c>
      <c r="K42" s="13">
        <v>5.0</v>
      </c>
      <c r="L42" s="13">
        <v>4.0</v>
      </c>
      <c r="M42" s="13">
        <v>4.0</v>
      </c>
      <c r="N42" s="13">
        <v>5.0</v>
      </c>
      <c r="O42" s="13">
        <v>4.0</v>
      </c>
      <c r="P42" s="13">
        <v>10.0</v>
      </c>
      <c r="Q42" s="13" t="s">
        <v>82</v>
      </c>
      <c r="R42" s="13" t="s">
        <v>28</v>
      </c>
    </row>
    <row r="43" ht="22.5" customHeight="1">
      <c r="A43" s="12">
        <v>46079.445600590276</v>
      </c>
      <c r="B43" s="13" t="s">
        <v>18</v>
      </c>
      <c r="C43" s="14">
        <v>46079.0</v>
      </c>
      <c r="D43" s="13" t="s">
        <v>19</v>
      </c>
      <c r="F43" s="13" t="s">
        <v>26</v>
      </c>
      <c r="G43" s="13" t="s">
        <v>22</v>
      </c>
      <c r="H43" s="13">
        <v>5.0</v>
      </c>
      <c r="I43" s="13">
        <v>5.0</v>
      </c>
      <c r="J43" s="13">
        <v>5.0</v>
      </c>
      <c r="K43" s="13">
        <v>5.0</v>
      </c>
      <c r="L43" s="13">
        <v>4.0</v>
      </c>
      <c r="M43" s="13">
        <v>4.0</v>
      </c>
      <c r="N43" s="13">
        <v>5.0</v>
      </c>
      <c r="O43" s="13">
        <v>5.0</v>
      </c>
      <c r="P43" s="13">
        <v>9.0</v>
      </c>
    </row>
    <row r="44" ht="22.5" customHeight="1">
      <c r="A44" s="12">
        <v>46079.450741249995</v>
      </c>
      <c r="B44" s="13" t="s">
        <v>18</v>
      </c>
      <c r="C44" s="14">
        <v>46079.0</v>
      </c>
      <c r="D44" s="13" t="s">
        <v>19</v>
      </c>
      <c r="F44" s="13" t="s">
        <v>26</v>
      </c>
      <c r="G44" s="13" t="s">
        <v>40</v>
      </c>
      <c r="H44" s="13">
        <v>5.0</v>
      </c>
      <c r="I44" s="13">
        <v>5.0</v>
      </c>
      <c r="J44" s="13">
        <v>5.0</v>
      </c>
      <c r="K44" s="13">
        <v>5.0</v>
      </c>
      <c r="L44" s="13">
        <v>5.0</v>
      </c>
      <c r="M44" s="13">
        <v>5.0</v>
      </c>
      <c r="N44" s="13">
        <v>5.0</v>
      </c>
      <c r="O44" s="13">
        <v>5.0</v>
      </c>
      <c r="P44" s="13">
        <v>10.0</v>
      </c>
    </row>
    <row r="45" ht="22.5" customHeight="1">
      <c r="A45" s="12">
        <v>46079.454697395835</v>
      </c>
      <c r="B45" s="13" t="s">
        <v>18</v>
      </c>
      <c r="C45" s="14">
        <v>38832.0</v>
      </c>
      <c r="D45" s="13" t="s">
        <v>19</v>
      </c>
      <c r="E45" s="13" t="s">
        <v>19</v>
      </c>
      <c r="F45" s="13" t="s">
        <v>21</v>
      </c>
      <c r="G45" s="13" t="s">
        <v>22</v>
      </c>
      <c r="H45" s="13">
        <v>3.0</v>
      </c>
      <c r="I45" s="13">
        <v>2.0</v>
      </c>
      <c r="J45" s="13">
        <v>3.0</v>
      </c>
      <c r="K45" s="13">
        <v>5.0</v>
      </c>
      <c r="L45" s="13">
        <v>4.0</v>
      </c>
      <c r="M45" s="13">
        <v>5.0</v>
      </c>
      <c r="N45" s="13">
        <v>5.0</v>
      </c>
      <c r="O45" s="13">
        <v>4.0</v>
      </c>
      <c r="P45" s="13">
        <v>6.0</v>
      </c>
      <c r="Q45" s="13" t="s">
        <v>83</v>
      </c>
      <c r="R45" s="13" t="s">
        <v>84</v>
      </c>
    </row>
    <row r="46" ht="22.5" customHeight="1">
      <c r="A46" s="12">
        <v>46079.45908454861</v>
      </c>
      <c r="B46" s="13" t="s">
        <v>18</v>
      </c>
      <c r="C46" s="14">
        <v>46079.0</v>
      </c>
      <c r="D46" s="13" t="s">
        <v>19</v>
      </c>
      <c r="F46" s="13" t="s">
        <v>26</v>
      </c>
      <c r="G46" s="13" t="s">
        <v>22</v>
      </c>
      <c r="H46" s="13">
        <v>3.0</v>
      </c>
      <c r="I46" s="13">
        <v>3.0</v>
      </c>
      <c r="J46" s="13">
        <v>4.0</v>
      </c>
      <c r="K46" s="13">
        <v>4.0</v>
      </c>
      <c r="L46" s="13">
        <v>5.0</v>
      </c>
      <c r="M46" s="13">
        <v>4.0</v>
      </c>
      <c r="N46" s="13">
        <v>4.0</v>
      </c>
      <c r="O46" s="13">
        <v>5.0</v>
      </c>
      <c r="P46" s="13">
        <v>10.0</v>
      </c>
    </row>
    <row r="47" ht="22.5" customHeight="1">
      <c r="A47" s="12">
        <v>46079.47950021991</v>
      </c>
      <c r="B47" s="13" t="s">
        <v>18</v>
      </c>
      <c r="C47" s="14">
        <v>38774.0</v>
      </c>
      <c r="D47" s="13" t="s">
        <v>19</v>
      </c>
      <c r="E47" s="13" t="s">
        <v>85</v>
      </c>
      <c r="F47" s="13" t="s">
        <v>26</v>
      </c>
      <c r="G47" s="13" t="s">
        <v>40</v>
      </c>
      <c r="H47" s="13">
        <v>5.0</v>
      </c>
      <c r="I47" s="13">
        <v>5.0</v>
      </c>
      <c r="J47" s="13">
        <v>5.0</v>
      </c>
      <c r="K47" s="13">
        <v>5.0</v>
      </c>
      <c r="L47" s="13">
        <v>5.0</v>
      </c>
      <c r="M47" s="13">
        <v>5.0</v>
      </c>
      <c r="N47" s="13">
        <v>5.0</v>
      </c>
      <c r="O47" s="13">
        <v>5.0</v>
      </c>
      <c r="P47" s="13">
        <v>10.0</v>
      </c>
      <c r="Q47" s="13" t="s">
        <v>86</v>
      </c>
      <c r="R47" s="13" t="s">
        <v>28</v>
      </c>
    </row>
    <row r="48" ht="22.5" customHeight="1">
      <c r="A48" s="12">
        <v>46079.4983637963</v>
      </c>
      <c r="B48" s="13" t="s">
        <v>18</v>
      </c>
      <c r="C48" s="14">
        <v>46079.0</v>
      </c>
      <c r="D48" s="13" t="s">
        <v>19</v>
      </c>
      <c r="F48" s="13" t="s">
        <v>26</v>
      </c>
      <c r="G48" s="13" t="s">
        <v>22</v>
      </c>
      <c r="H48" s="13">
        <v>3.0</v>
      </c>
      <c r="I48" s="13">
        <v>3.0</v>
      </c>
      <c r="J48" s="13">
        <v>3.0</v>
      </c>
      <c r="K48" s="13">
        <v>3.0</v>
      </c>
      <c r="L48" s="13">
        <v>3.0</v>
      </c>
      <c r="M48" s="13">
        <v>3.0</v>
      </c>
      <c r="N48" s="13">
        <v>3.0</v>
      </c>
      <c r="O48" s="13">
        <v>3.0</v>
      </c>
      <c r="P48" s="13">
        <v>8.0</v>
      </c>
    </row>
    <row r="49" ht="22.5" customHeight="1">
      <c r="A49" s="12">
        <v>46079.54995652778</v>
      </c>
      <c r="B49" s="13" t="s">
        <v>18</v>
      </c>
      <c r="C49" s="14">
        <v>46079.0</v>
      </c>
      <c r="D49" s="13" t="s">
        <v>19</v>
      </c>
      <c r="F49" s="13" t="s">
        <v>21</v>
      </c>
      <c r="G49" s="13" t="s">
        <v>22</v>
      </c>
      <c r="H49" s="13">
        <v>5.0</v>
      </c>
      <c r="I49" s="13">
        <v>5.0</v>
      </c>
      <c r="J49" s="13">
        <v>5.0</v>
      </c>
      <c r="K49" s="13">
        <v>5.0</v>
      </c>
      <c r="L49" s="13">
        <v>5.0</v>
      </c>
      <c r="M49" s="13">
        <v>5.0</v>
      </c>
      <c r="N49" s="13">
        <v>5.0</v>
      </c>
      <c r="O49" s="13">
        <v>5.0</v>
      </c>
      <c r="P49" s="13">
        <v>10.0</v>
      </c>
    </row>
    <row r="50" ht="22.5" customHeight="1">
      <c r="A50" s="12">
        <v>46079.678472581014</v>
      </c>
      <c r="B50" s="13" t="s">
        <v>18</v>
      </c>
      <c r="C50" s="14">
        <v>46079.0</v>
      </c>
      <c r="D50" s="13" t="s">
        <v>19</v>
      </c>
      <c r="E50" s="13" t="s">
        <v>62</v>
      </c>
      <c r="F50" s="13" t="s">
        <v>26</v>
      </c>
      <c r="G50" s="13" t="s">
        <v>22</v>
      </c>
      <c r="H50" s="13">
        <v>5.0</v>
      </c>
      <c r="I50" s="13">
        <v>5.0</v>
      </c>
      <c r="J50" s="13">
        <v>3.0</v>
      </c>
      <c r="K50" s="13">
        <v>5.0</v>
      </c>
      <c r="L50" s="13">
        <v>4.0</v>
      </c>
      <c r="M50" s="13">
        <v>4.0</v>
      </c>
      <c r="N50" s="13">
        <v>4.0</v>
      </c>
      <c r="O50" s="13">
        <v>3.0</v>
      </c>
      <c r="P50" s="13">
        <v>8.0</v>
      </c>
    </row>
    <row r="51" ht="22.5" customHeight="1">
      <c r="A51" s="15">
        <v>46301.72094167824</v>
      </c>
      <c r="B51" s="13" t="s">
        <v>18</v>
      </c>
      <c r="C51" s="14">
        <v>46301.0</v>
      </c>
      <c r="D51" s="13" t="s">
        <v>19</v>
      </c>
      <c r="E51" s="13" t="s">
        <v>87</v>
      </c>
      <c r="F51" s="13" t="s">
        <v>26</v>
      </c>
      <c r="G51" s="13" t="s">
        <v>88</v>
      </c>
      <c r="H51" s="13">
        <v>5.0</v>
      </c>
      <c r="I51" s="13">
        <v>5.0</v>
      </c>
      <c r="J51" s="13">
        <v>5.0</v>
      </c>
      <c r="K51" s="13">
        <v>5.0</v>
      </c>
      <c r="L51" s="13">
        <v>5.0</v>
      </c>
      <c r="M51" s="13">
        <v>5.0</v>
      </c>
      <c r="N51" s="13">
        <v>5.0</v>
      </c>
      <c r="O51" s="13">
        <v>5.0</v>
      </c>
      <c r="P51" s="13">
        <v>9.0</v>
      </c>
      <c r="Q51" s="13" t="s">
        <v>87</v>
      </c>
      <c r="R51" s="13" t="s">
        <v>87</v>
      </c>
    </row>
    <row r="52" ht="22.5" customHeight="1">
      <c r="A52" s="15">
        <v>46301.726440370374</v>
      </c>
      <c r="B52" s="13" t="s">
        <v>18</v>
      </c>
      <c r="C52" s="14">
        <v>46301.0</v>
      </c>
      <c r="D52" s="13" t="s">
        <v>19</v>
      </c>
      <c r="F52" s="13" t="s">
        <v>26</v>
      </c>
      <c r="G52" s="13" t="s">
        <v>22</v>
      </c>
      <c r="H52" s="13">
        <v>5.0</v>
      </c>
      <c r="I52" s="13">
        <v>5.0</v>
      </c>
      <c r="J52" s="13">
        <v>5.0</v>
      </c>
      <c r="K52" s="13">
        <v>5.0</v>
      </c>
      <c r="L52" s="13">
        <v>5.0</v>
      </c>
      <c r="M52" s="13">
        <v>5.0</v>
      </c>
      <c r="N52" s="13">
        <v>5.0</v>
      </c>
      <c r="O52" s="13">
        <v>5.0</v>
      </c>
      <c r="P52" s="13">
        <v>10.0</v>
      </c>
      <c r="Q52" s="13" t="s">
        <v>89</v>
      </c>
      <c r="R52" s="13" t="s">
        <v>28</v>
      </c>
    </row>
    <row r="53" ht="22.5" customHeight="1">
      <c r="A53" s="15">
        <v>46301.73058131944</v>
      </c>
      <c r="B53" s="13" t="s">
        <v>18</v>
      </c>
      <c r="C53" s="14">
        <v>46301.0</v>
      </c>
      <c r="D53" s="13" t="s">
        <v>29</v>
      </c>
      <c r="E53" s="13" t="s">
        <v>90</v>
      </c>
      <c r="F53" s="13" t="s">
        <v>26</v>
      </c>
      <c r="G53" s="13" t="s">
        <v>91</v>
      </c>
      <c r="H53" s="13">
        <v>5.0</v>
      </c>
      <c r="I53" s="13">
        <v>5.0</v>
      </c>
      <c r="J53" s="13">
        <v>5.0</v>
      </c>
      <c r="K53" s="13">
        <v>5.0</v>
      </c>
      <c r="L53" s="13">
        <v>5.0</v>
      </c>
      <c r="M53" s="13">
        <v>5.0</v>
      </c>
      <c r="N53" s="13">
        <v>5.0</v>
      </c>
      <c r="O53" s="13">
        <v>5.0</v>
      </c>
      <c r="P53" s="13">
        <v>10.0</v>
      </c>
    </row>
    <row r="54" ht="22.5" customHeight="1">
      <c r="A54" s="15">
        <v>46301.73139991898</v>
      </c>
      <c r="B54" s="13" t="s">
        <v>18</v>
      </c>
      <c r="C54" s="14">
        <v>46301.0</v>
      </c>
      <c r="D54" s="13" t="s">
        <v>19</v>
      </c>
      <c r="E54" s="13" t="s">
        <v>92</v>
      </c>
      <c r="F54" s="13" t="s">
        <v>26</v>
      </c>
      <c r="G54" s="13" t="s">
        <v>88</v>
      </c>
      <c r="H54" s="13">
        <v>5.0</v>
      </c>
      <c r="I54" s="13">
        <v>5.0</v>
      </c>
      <c r="J54" s="13">
        <v>5.0</v>
      </c>
      <c r="K54" s="13">
        <v>5.0</v>
      </c>
      <c r="L54" s="13">
        <v>5.0</v>
      </c>
      <c r="M54" s="13">
        <v>5.0</v>
      </c>
      <c r="N54" s="13">
        <v>5.0</v>
      </c>
      <c r="O54" s="13">
        <v>5.0</v>
      </c>
      <c r="P54" s="13">
        <v>10.0</v>
      </c>
      <c r="Q54" s="13" t="s">
        <v>93</v>
      </c>
    </row>
    <row r="55" ht="22.5" customHeight="1">
      <c r="A55" s="15">
        <v>46301.74457616898</v>
      </c>
      <c r="B55" s="13" t="s">
        <v>18</v>
      </c>
      <c r="C55" s="14">
        <v>46301.0</v>
      </c>
      <c r="D55" s="13" t="s">
        <v>19</v>
      </c>
      <c r="E55" s="13" t="s">
        <v>94</v>
      </c>
      <c r="F55" s="13" t="s">
        <v>26</v>
      </c>
      <c r="G55" s="13" t="s">
        <v>88</v>
      </c>
      <c r="H55" s="13">
        <v>4.0</v>
      </c>
      <c r="I55" s="13">
        <v>4.0</v>
      </c>
      <c r="J55" s="13">
        <v>5.0</v>
      </c>
      <c r="K55" s="13">
        <v>5.0</v>
      </c>
      <c r="L55" s="13">
        <v>5.0</v>
      </c>
      <c r="M55" s="13">
        <v>5.0</v>
      </c>
      <c r="N55" s="13">
        <v>5.0</v>
      </c>
      <c r="O55" s="13">
        <v>4.0</v>
      </c>
      <c r="P55" s="13">
        <v>10.0</v>
      </c>
    </row>
    <row r="56" ht="22.5" customHeight="1">
      <c r="A56" s="15">
        <v>46301.844965717595</v>
      </c>
      <c r="B56" s="13" t="s">
        <v>18</v>
      </c>
      <c r="C56" s="14">
        <v>46300.0</v>
      </c>
      <c r="D56" s="13" t="s">
        <v>19</v>
      </c>
      <c r="E56" s="13" t="s">
        <v>95</v>
      </c>
      <c r="F56" s="13" t="s">
        <v>26</v>
      </c>
      <c r="G56" s="13" t="s">
        <v>88</v>
      </c>
      <c r="H56" s="13">
        <v>5.0</v>
      </c>
      <c r="I56" s="13">
        <v>5.0</v>
      </c>
      <c r="J56" s="13">
        <v>5.0</v>
      </c>
      <c r="K56" s="13">
        <v>5.0</v>
      </c>
      <c r="L56" s="13">
        <v>5.0</v>
      </c>
      <c r="M56" s="13">
        <v>5.0</v>
      </c>
      <c r="N56" s="13">
        <v>5.0</v>
      </c>
      <c r="O56" s="13">
        <v>5.0</v>
      </c>
      <c r="P56" s="13">
        <v>10.0</v>
      </c>
    </row>
    <row r="57" ht="22.5" customHeight="1">
      <c r="A57" s="15">
        <v>46301.848849409726</v>
      </c>
      <c r="B57" s="13" t="s">
        <v>18</v>
      </c>
      <c r="C57" s="14">
        <v>46301.0</v>
      </c>
      <c r="D57" s="13" t="s">
        <v>19</v>
      </c>
      <c r="F57" s="13" t="s">
        <v>26</v>
      </c>
      <c r="G57" s="13" t="s">
        <v>22</v>
      </c>
      <c r="H57" s="13">
        <v>5.0</v>
      </c>
      <c r="I57" s="13">
        <v>5.0</v>
      </c>
      <c r="J57" s="13">
        <v>5.0</v>
      </c>
      <c r="K57" s="13">
        <v>5.0</v>
      </c>
      <c r="L57" s="13">
        <v>5.0</v>
      </c>
      <c r="M57" s="13">
        <v>5.0</v>
      </c>
      <c r="N57" s="13">
        <v>5.0</v>
      </c>
      <c r="O57" s="13">
        <v>5.0</v>
      </c>
      <c r="P57" s="13">
        <v>10.0</v>
      </c>
    </row>
    <row r="58" ht="22.5" customHeight="1">
      <c r="A58" s="15">
        <v>46301.97946686343</v>
      </c>
      <c r="B58" s="13" t="s">
        <v>18</v>
      </c>
      <c r="C58" s="14">
        <v>46080.0</v>
      </c>
      <c r="D58" s="13" t="s">
        <v>19</v>
      </c>
      <c r="E58" s="13" t="s">
        <v>41</v>
      </c>
      <c r="F58" s="13" t="s">
        <v>26</v>
      </c>
      <c r="G58" s="13" t="s">
        <v>96</v>
      </c>
      <c r="H58" s="13">
        <v>5.0</v>
      </c>
      <c r="I58" s="13">
        <v>5.0</v>
      </c>
      <c r="J58" s="13">
        <v>5.0</v>
      </c>
      <c r="K58" s="13">
        <v>5.0</v>
      </c>
      <c r="L58" s="13">
        <v>5.0</v>
      </c>
      <c r="M58" s="13">
        <v>5.0</v>
      </c>
      <c r="N58" s="13">
        <v>5.0</v>
      </c>
      <c r="O58" s="13">
        <v>5.0</v>
      </c>
      <c r="P58" s="13">
        <v>10.0</v>
      </c>
    </row>
    <row r="59" ht="22.5" customHeight="1">
      <c r="A59" s="15">
        <v>46302.04957315972</v>
      </c>
      <c r="B59" s="13" t="s">
        <v>18</v>
      </c>
      <c r="C59" s="14">
        <v>46255.0</v>
      </c>
      <c r="D59" s="13" t="s">
        <v>97</v>
      </c>
      <c r="E59" s="13" t="s">
        <v>98</v>
      </c>
      <c r="F59" s="13" t="s">
        <v>26</v>
      </c>
      <c r="G59" s="13" t="s">
        <v>22</v>
      </c>
      <c r="H59" s="13">
        <v>5.0</v>
      </c>
      <c r="I59" s="13">
        <v>5.0</v>
      </c>
      <c r="J59" s="13">
        <v>5.0</v>
      </c>
      <c r="K59" s="13">
        <v>5.0</v>
      </c>
      <c r="L59" s="13">
        <v>5.0</v>
      </c>
      <c r="M59" s="13">
        <v>5.0</v>
      </c>
      <c r="N59" s="13">
        <v>5.0</v>
      </c>
      <c r="O59" s="13">
        <v>5.0</v>
      </c>
      <c r="P59" s="13">
        <v>10.0</v>
      </c>
      <c r="Q59" s="13" t="s">
        <v>99</v>
      </c>
      <c r="R59" s="13" t="s">
        <v>100</v>
      </c>
    </row>
    <row r="60" ht="22.5" customHeight="1">
      <c r="A60" s="15">
        <v>46302.23995456018</v>
      </c>
      <c r="B60" s="13" t="s">
        <v>18</v>
      </c>
      <c r="C60" s="14">
        <v>46302.0</v>
      </c>
      <c r="D60" s="13" t="s">
        <v>97</v>
      </c>
      <c r="F60" s="13" t="s">
        <v>26</v>
      </c>
      <c r="G60" s="13" t="s">
        <v>101</v>
      </c>
      <c r="H60" s="13">
        <v>5.0</v>
      </c>
      <c r="I60" s="13">
        <v>5.0</v>
      </c>
      <c r="J60" s="13">
        <v>5.0</v>
      </c>
      <c r="K60" s="13">
        <v>5.0</v>
      </c>
      <c r="M60" s="13">
        <v>5.0</v>
      </c>
      <c r="N60" s="13">
        <v>5.0</v>
      </c>
      <c r="O60" s="13">
        <v>5.0</v>
      </c>
      <c r="P60" s="13">
        <v>10.0</v>
      </c>
    </row>
    <row r="61" ht="22.5" customHeight="1">
      <c r="A61" s="15">
        <v>46302.34574636574</v>
      </c>
      <c r="B61" s="13" t="s">
        <v>18</v>
      </c>
      <c r="C61" s="14">
        <v>46302.0</v>
      </c>
      <c r="D61" s="13" t="s">
        <v>29</v>
      </c>
      <c r="E61" s="13" t="s">
        <v>102</v>
      </c>
      <c r="F61" s="13" t="s">
        <v>26</v>
      </c>
      <c r="G61" s="13" t="s">
        <v>31</v>
      </c>
      <c r="H61" s="13">
        <v>5.0</v>
      </c>
      <c r="I61" s="13">
        <v>5.0</v>
      </c>
      <c r="J61" s="13">
        <v>5.0</v>
      </c>
      <c r="K61" s="13">
        <v>5.0</v>
      </c>
      <c r="M61" s="13">
        <v>5.0</v>
      </c>
      <c r="N61" s="13">
        <v>5.0</v>
      </c>
      <c r="O61" s="13">
        <v>5.0</v>
      </c>
      <c r="P61" s="13">
        <v>10.0</v>
      </c>
      <c r="Q61" s="13" t="s">
        <v>103</v>
      </c>
    </row>
    <row r="62" ht="22.5" customHeight="1">
      <c r="A62" s="15">
        <v>46302.60870660879</v>
      </c>
      <c r="B62" s="13" t="s">
        <v>18</v>
      </c>
      <c r="C62" s="14">
        <v>46302.0</v>
      </c>
      <c r="D62" s="13" t="s">
        <v>19</v>
      </c>
      <c r="E62" s="13" t="s">
        <v>20</v>
      </c>
      <c r="F62" s="13" t="s">
        <v>26</v>
      </c>
      <c r="G62" s="13" t="s">
        <v>88</v>
      </c>
      <c r="H62" s="13">
        <v>4.0</v>
      </c>
      <c r="I62" s="13">
        <v>4.0</v>
      </c>
      <c r="K62" s="13">
        <v>4.0</v>
      </c>
      <c r="M62" s="13">
        <v>4.0</v>
      </c>
      <c r="N62" s="13">
        <v>4.0</v>
      </c>
      <c r="O62" s="13">
        <v>4.0</v>
      </c>
      <c r="P62" s="13">
        <v>8.0</v>
      </c>
    </row>
    <row r="63" ht="22.5" customHeight="1">
      <c r="A63" s="15">
        <v>46302.60874681713</v>
      </c>
      <c r="B63" s="13" t="s">
        <v>18</v>
      </c>
      <c r="C63" s="14">
        <v>46302.0</v>
      </c>
      <c r="D63" s="13" t="s">
        <v>19</v>
      </c>
      <c r="F63" s="13" t="s">
        <v>21</v>
      </c>
      <c r="G63" s="13" t="s">
        <v>88</v>
      </c>
      <c r="H63" s="13">
        <v>5.0</v>
      </c>
      <c r="I63" s="13">
        <v>5.0</v>
      </c>
      <c r="J63" s="13">
        <v>5.0</v>
      </c>
      <c r="K63" s="13">
        <v>5.0</v>
      </c>
      <c r="L63" s="13">
        <v>5.0</v>
      </c>
      <c r="M63" s="13">
        <v>5.0</v>
      </c>
      <c r="N63" s="13">
        <v>5.0</v>
      </c>
      <c r="O63" s="13">
        <v>5.0</v>
      </c>
      <c r="P63" s="13">
        <v>10.0</v>
      </c>
    </row>
    <row r="64" ht="22.5" customHeight="1">
      <c r="A64" s="15">
        <v>46302.61187130787</v>
      </c>
      <c r="B64" s="13" t="s">
        <v>18</v>
      </c>
      <c r="C64" s="14">
        <v>38997.0</v>
      </c>
      <c r="D64" s="13" t="s">
        <v>19</v>
      </c>
      <c r="F64" s="13" t="s">
        <v>47</v>
      </c>
      <c r="G64" s="13" t="s">
        <v>88</v>
      </c>
      <c r="H64" s="13">
        <v>5.0</v>
      </c>
      <c r="I64" s="13">
        <v>5.0</v>
      </c>
      <c r="J64" s="13">
        <v>4.0</v>
      </c>
      <c r="K64" s="13">
        <v>4.0</v>
      </c>
      <c r="L64" s="13">
        <v>5.0</v>
      </c>
      <c r="M64" s="13">
        <v>5.0</v>
      </c>
      <c r="N64" s="13">
        <v>5.0</v>
      </c>
      <c r="O64" s="13">
        <v>4.0</v>
      </c>
      <c r="P64" s="13">
        <v>9.0</v>
      </c>
    </row>
    <row r="65" ht="22.5" customHeight="1">
      <c r="A65" s="15">
        <v>46302.62125429398</v>
      </c>
      <c r="B65" s="13" t="s">
        <v>18</v>
      </c>
      <c r="C65" s="14">
        <v>46302.0</v>
      </c>
      <c r="D65" s="13" t="s">
        <v>19</v>
      </c>
      <c r="E65" s="13" t="s">
        <v>104</v>
      </c>
      <c r="F65" s="13" t="s">
        <v>26</v>
      </c>
      <c r="G65" s="13" t="s">
        <v>22</v>
      </c>
      <c r="H65" s="13">
        <v>5.0</v>
      </c>
      <c r="I65" s="13">
        <v>5.0</v>
      </c>
      <c r="J65" s="13">
        <v>5.0</v>
      </c>
      <c r="K65" s="13">
        <v>5.0</v>
      </c>
      <c r="L65" s="13">
        <v>5.0</v>
      </c>
      <c r="M65" s="13">
        <v>5.0</v>
      </c>
      <c r="N65" s="13">
        <v>5.0</v>
      </c>
      <c r="O65" s="13">
        <v>5.0</v>
      </c>
      <c r="P65" s="13">
        <v>10.0</v>
      </c>
      <c r="Q65" s="13" t="s">
        <v>105</v>
      </c>
      <c r="R65" s="13" t="s">
        <v>50</v>
      </c>
    </row>
    <row r="66" ht="22.5" customHeight="1">
      <c r="A66" s="15">
        <v>46302.62460800926</v>
      </c>
      <c r="B66" s="13" t="s">
        <v>18</v>
      </c>
      <c r="C66" s="14">
        <v>46199.0</v>
      </c>
      <c r="D66" s="13" t="s">
        <v>19</v>
      </c>
      <c r="E66" s="13" t="s">
        <v>106</v>
      </c>
      <c r="F66" s="13" t="s">
        <v>26</v>
      </c>
      <c r="G66" s="13" t="s">
        <v>107</v>
      </c>
      <c r="H66" s="13">
        <v>5.0</v>
      </c>
      <c r="I66" s="13">
        <v>5.0</v>
      </c>
      <c r="J66" s="13">
        <v>5.0</v>
      </c>
      <c r="K66" s="13">
        <v>5.0</v>
      </c>
      <c r="L66" s="13">
        <v>5.0</v>
      </c>
      <c r="M66" s="13">
        <v>5.0</v>
      </c>
      <c r="N66" s="13">
        <v>5.0</v>
      </c>
      <c r="O66" s="13">
        <v>5.0</v>
      </c>
      <c r="P66" s="13">
        <v>10.0</v>
      </c>
    </row>
    <row r="67" ht="22.5" customHeight="1">
      <c r="A67" s="15">
        <v>46302.637123506945</v>
      </c>
      <c r="B67" s="13" t="s">
        <v>18</v>
      </c>
      <c r="C67" s="14">
        <v>46302.0</v>
      </c>
      <c r="D67" s="13" t="s">
        <v>19</v>
      </c>
      <c r="E67" s="13" t="s">
        <v>108</v>
      </c>
      <c r="F67" s="13" t="s">
        <v>26</v>
      </c>
      <c r="G67" s="13" t="s">
        <v>107</v>
      </c>
      <c r="H67" s="13">
        <v>4.0</v>
      </c>
      <c r="I67" s="13">
        <v>4.0</v>
      </c>
      <c r="J67" s="13">
        <v>4.0</v>
      </c>
      <c r="K67" s="13">
        <v>5.0</v>
      </c>
      <c r="L67" s="13">
        <v>4.0</v>
      </c>
      <c r="M67" s="13">
        <v>4.0</v>
      </c>
      <c r="N67" s="13">
        <v>4.0</v>
      </c>
      <c r="O67" s="13">
        <v>4.0</v>
      </c>
      <c r="P67" s="13">
        <v>8.0</v>
      </c>
      <c r="Q67" s="13" t="s">
        <v>62</v>
      </c>
      <c r="R67" s="13" t="s">
        <v>62</v>
      </c>
    </row>
    <row r="68" ht="22.5" customHeight="1">
      <c r="A68" s="15">
        <v>46302.69964013889</v>
      </c>
      <c r="B68" s="13" t="s">
        <v>18</v>
      </c>
      <c r="C68" s="14">
        <v>46302.0</v>
      </c>
      <c r="D68" s="13" t="s">
        <v>19</v>
      </c>
      <c r="E68" s="13" t="s">
        <v>109</v>
      </c>
      <c r="F68" s="13" t="s">
        <v>26</v>
      </c>
      <c r="G68" s="13" t="s">
        <v>88</v>
      </c>
      <c r="H68" s="13">
        <v>5.0</v>
      </c>
      <c r="I68" s="13">
        <v>5.0</v>
      </c>
      <c r="J68" s="13">
        <v>5.0</v>
      </c>
      <c r="K68" s="13">
        <v>5.0</v>
      </c>
      <c r="L68" s="13">
        <v>5.0</v>
      </c>
      <c r="M68" s="13">
        <v>5.0</v>
      </c>
      <c r="N68" s="13">
        <v>5.0</v>
      </c>
      <c r="O68" s="13">
        <v>5.0</v>
      </c>
      <c r="P68" s="13">
        <v>10.0</v>
      </c>
      <c r="Q68" s="13" t="s">
        <v>110</v>
      </c>
      <c r="R68" s="13" t="s">
        <v>50</v>
      </c>
    </row>
    <row r="69" ht="22.5" customHeight="1">
      <c r="A69" s="12">
        <v>46303.93203275463</v>
      </c>
      <c r="B69" s="13" t="s">
        <v>18</v>
      </c>
      <c r="C69" s="14">
        <v>46301.0</v>
      </c>
      <c r="D69" s="13" t="s">
        <v>19</v>
      </c>
      <c r="E69" s="13" t="s">
        <v>109</v>
      </c>
      <c r="F69" s="13" t="s">
        <v>26</v>
      </c>
      <c r="G69" s="13" t="s">
        <v>88</v>
      </c>
      <c r="H69" s="13">
        <v>5.0</v>
      </c>
      <c r="I69" s="13">
        <v>5.0</v>
      </c>
      <c r="J69" s="13">
        <v>5.0</v>
      </c>
      <c r="K69" s="13">
        <v>5.0</v>
      </c>
      <c r="L69" s="13">
        <v>5.0</v>
      </c>
      <c r="M69" s="13">
        <v>5.0</v>
      </c>
      <c r="N69" s="13">
        <v>5.0</v>
      </c>
      <c r="O69" s="13">
        <v>5.0</v>
      </c>
      <c r="P69" s="13">
        <v>10.0</v>
      </c>
      <c r="Q69" s="13" t="s">
        <v>111</v>
      </c>
      <c r="R69" s="13" t="s">
        <v>112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1'!A2:A80, 'Form Responses 1'!Q2:Q80, 'Form Responses 1'!R2:R80}, ('Form Responses 1'!Q2:Q80 &lt;&gt; """") + ('Form Responses 1'!R2:R80 &lt;&gt; """"))"),45978.77339736111)</f>
        <v>45978.7734</v>
      </c>
      <c r="B1" s="2" t="str">
        <f>IFERROR(__xludf.DUMMYFUNCTION("""COMPUTED_VALUE"""),"I appreciate that the staff are always courteous and knowledgeable when I interact with them, They’re know all the things needs to do. ")</f>
        <v>I appreciate that the staff are always courteous and knowledgeable when I interact with them, They’re know all the things needs to do. </v>
      </c>
      <c r="C1" s="2" t="str">
        <f>IFERROR(__xludf.DUMMYFUNCTION("""COMPUTED_VALUE"""),"if possible, the office could make more forms and scheduling options available online, it would significantly improve the overall convenience and accessibility for staffs or students.")</f>
        <v>if possible, the office could make more forms and scheduling options available online, it would significantly improve the overall convenience and accessibility for staffs or students.</v>
      </c>
    </row>
    <row r="2">
      <c r="A2" s="3">
        <f>IFERROR(__xludf.DUMMYFUNCTION("""COMPUTED_VALUE"""),45978.77845675926)</f>
        <v>45978.77846</v>
      </c>
      <c r="B2" s="2" t="str">
        <f>IFERROR(__xludf.DUMMYFUNCTION("""COMPUTED_VALUE"""),"Everything was done promptly and efficiently. They ensure little to no communication or process mishaps happen. If an issue arises, they are accommodating and resolves it as best as possible. ")</f>
        <v>Everything was done promptly and efficiently. They ensure little to no communication or process mishaps happen. If an issue arises, they are accommodating and resolves it as best as possible. </v>
      </c>
      <c r="C2" s="2" t="str">
        <f>IFERROR(__xludf.DUMMYFUNCTION("""COMPUTED_VALUE"""),"None")</f>
        <v>None</v>
      </c>
    </row>
    <row r="3">
      <c r="A3" s="3">
        <f>IFERROR(__xludf.DUMMYFUNCTION("""COMPUTED_VALUE"""),45981.589954201394)</f>
        <v>45981.58995</v>
      </c>
      <c r="B3" s="2" t="str">
        <f>IFERROR(__xludf.DUMMYFUNCTION("""COMPUTED_VALUE"""),"Very good.. ")</f>
        <v>Very good.. </v>
      </c>
      <c r="C3" s="2" t="str">
        <f>IFERROR(__xludf.DUMMYFUNCTION("""COMPUTED_VALUE"""),"A more detailed schedule would be nice ")</f>
        <v>A more detailed schedule would be nice </v>
      </c>
    </row>
    <row r="4">
      <c r="A4" s="3">
        <f>IFERROR(__xludf.DUMMYFUNCTION("""COMPUTED_VALUE"""),45981.59551936343)</f>
        <v>45981.59552</v>
      </c>
      <c r="B4" s="2" t="str">
        <f>IFERROR(__xludf.DUMMYFUNCTION("""COMPUTED_VALUE"""),"More Collaboration")</f>
        <v>More Collaboration</v>
      </c>
      <c r="C4" s="2" t="str">
        <f>IFERROR(__xludf.DUMMYFUNCTION("""COMPUTED_VALUE"""),"Make Collaboration  More")</f>
        <v>Make Collaboration  More</v>
      </c>
    </row>
    <row r="5">
      <c r="A5" s="3">
        <f>IFERROR(__xludf.DUMMYFUNCTION("""COMPUTED_VALUE"""),46052.72069883102)</f>
        <v>46052.7207</v>
      </c>
      <c r="B5" s="2" t="str">
        <f>IFERROR(__xludf.DUMMYFUNCTION("""COMPUTED_VALUE"""),"Continue with what you are doing")</f>
        <v>Continue with what you are doing</v>
      </c>
      <c r="C5" s="2" t="str">
        <f>IFERROR(__xludf.DUMMYFUNCTION("""COMPUTED_VALUE"""),"N/a")</f>
        <v>N/a</v>
      </c>
    </row>
    <row r="6">
      <c r="A6" s="3">
        <f>IFERROR(__xludf.DUMMYFUNCTION("""COMPUTED_VALUE"""),46073.47851554398)</f>
        <v>46073.47852</v>
      </c>
      <c r="B6" s="2" t="str">
        <f>IFERROR(__xludf.DUMMYFUNCTION("""COMPUTED_VALUE"""),"None")</f>
        <v>None</v>
      </c>
      <c r="C6" s="2" t="str">
        <f>IFERROR(__xludf.DUMMYFUNCTION("""COMPUTED_VALUE"""),"None")</f>
        <v>None</v>
      </c>
    </row>
    <row r="7">
      <c r="A7" s="3">
        <f>IFERROR(__xludf.DUMMYFUNCTION("""COMPUTED_VALUE"""),46079.37972778935)</f>
        <v>46079.37973</v>
      </c>
      <c r="B7" s="2" t="str">
        <f>IFERROR(__xludf.DUMMYFUNCTION("""COMPUTED_VALUE"""),"None")</f>
        <v>None</v>
      </c>
      <c r="C7" s="2" t="str">
        <f>IFERROR(__xludf.DUMMYFUNCTION("""COMPUTED_VALUE"""),"None")</f>
        <v>None</v>
      </c>
    </row>
    <row r="8">
      <c r="A8" s="3">
        <f>IFERROR(__xludf.DUMMYFUNCTION("""COMPUTED_VALUE"""),46079.38032115741)</f>
        <v>46079.38032</v>
      </c>
      <c r="B8" s="2" t="str">
        <f>IFERROR(__xludf.DUMMYFUNCTION("""COMPUTED_VALUE"""),"The office provides organized and reliable services. They are responsive, supportive, and helpful in assisting students.")</f>
        <v>The office provides organized and reliable services. They are responsive, supportive, and helpful in assisting students.</v>
      </c>
      <c r="C8" s="2"/>
    </row>
    <row r="9">
      <c r="A9" s="3">
        <f>IFERROR(__xludf.DUMMYFUNCTION("""COMPUTED_VALUE"""),46079.38040596065)</f>
        <v>46079.38041</v>
      </c>
      <c r="B9" s="2" t="str">
        <f>IFERROR(__xludf.DUMMYFUNCTION("""COMPUTED_VALUE"""),"none")</f>
        <v>none</v>
      </c>
      <c r="C9" s="2" t="str">
        <f>IFERROR(__xludf.DUMMYFUNCTION("""COMPUTED_VALUE"""),"none")</f>
        <v>none</v>
      </c>
    </row>
    <row r="10">
      <c r="A10" s="3">
        <f>IFERROR(__xludf.DUMMYFUNCTION("""COMPUTED_VALUE"""),46079.38089134259)</f>
        <v>46079.38089</v>
      </c>
      <c r="B10" s="2" t="str">
        <f>IFERROR(__xludf.DUMMYFUNCTION("""COMPUTED_VALUE"""),"The office provides efficient and organized services. The staff are approachable and helpful, and they respond to concerns clearly and professionally.")</f>
        <v>The office provides efficient and organized services. The staff are approachable and helpful, and they respond to concerns clearly and professionally.</v>
      </c>
      <c r="C10" s="2" t="str">
        <f>IFERROR(__xludf.DUMMYFUNCTION("""COMPUTED_VALUE"""),"They can improve by reducing waiting time and providing clearer instructions or updates to clients to make the process faster and more convenient.")</f>
        <v>They can improve by reducing waiting time and providing clearer instructions or updates to clients to make the process faster and more convenient.</v>
      </c>
    </row>
    <row r="11">
      <c r="A11" s="3">
        <f>IFERROR(__xludf.DUMMYFUNCTION("""COMPUTED_VALUE"""),46079.38393696759)</f>
        <v>46079.38394</v>
      </c>
      <c r="B11" s="2" t="str">
        <f>IFERROR(__xludf.DUMMYFUNCTION("""COMPUTED_VALUE"""),"Some staffs are polite, some are snob, some offices or the one who does signing the papers  makes us wait for a longer time.")</f>
        <v>Some staffs are polite, some are snob, some offices or the one who does signing the papers  makes us wait for a longer time.</v>
      </c>
      <c r="C11" s="2" t="str">
        <f>IFERROR(__xludf.DUMMYFUNCTION("""COMPUTED_VALUE"""),"Treat us fair, and don’t make us wait for a ling time getting your signatures because we also have a lot to do in this school")</f>
        <v>Treat us fair, and don’t make us wait for a ling time getting your signatures because we also have a lot to do in this school</v>
      </c>
    </row>
    <row r="12">
      <c r="A12" s="3">
        <f>IFERROR(__xludf.DUMMYFUNCTION("""COMPUTED_VALUE"""),46079.404533506946)</f>
        <v>46079.40453</v>
      </c>
      <c r="B12" s="2" t="str">
        <f>IFERROR(__xludf.DUMMYFUNCTION("""COMPUTED_VALUE""")," It's okay sometimes 🙂 ")</f>
        <v> It's okay sometimes 🙂 </v>
      </c>
      <c r="C12" s="2" t="str">
        <f>IFERROR(__xludf.DUMMYFUNCTION("""COMPUTED_VALUE""")," Always be patient to the students")</f>
        <v> Always be patient to the students</v>
      </c>
    </row>
    <row r="13">
      <c r="A13" s="3">
        <f>IFERROR(__xludf.DUMMYFUNCTION("""COMPUTED_VALUE"""),46079.40565435185)</f>
        <v>46079.40565</v>
      </c>
      <c r="B13" s="2" t="str">
        <f>IFERROR(__xludf.DUMMYFUNCTION("""COMPUTED_VALUE"""),"It's nice")</f>
        <v>It's nice</v>
      </c>
      <c r="C13" s="2" t="str">
        <f>IFERROR(__xludf.DUMMYFUNCTION("""COMPUTED_VALUE""")," Conduct more information ")</f>
        <v> Conduct more information </v>
      </c>
    </row>
    <row r="14">
      <c r="A14" s="3">
        <f>IFERROR(__xludf.DUMMYFUNCTION("""COMPUTED_VALUE"""),46079.40971960648)</f>
        <v>46079.40972</v>
      </c>
      <c r="B14" s="2" t="str">
        <f>IFERROR(__xludf.DUMMYFUNCTION("""COMPUTED_VALUE"""),"
Really appreciate how the office staff are always so friendly and know their stuff – they get things done pretty quickly too.")</f>
        <v>
Really appreciate how the office staff are always so friendly and know their stuff – they get things done pretty quickly too.</v>
      </c>
      <c r="C14" s="2" t="str">
        <f>IFERROR(__xludf.DUMMYFUNCTION("""COMPUTED_VALUE"""),"
Just thinking it’d be even better if we could book appointments online to skip the wait, have some simple step-by-step notes up for common tasks, and maybe keep things open a bit longer when it gets super busy like during enrollment time.")</f>
        <v>
Just thinking it’d be even better if we could book appointments online to skip the wait, have some simple step-by-step notes up for common tasks, and maybe keep things open a bit longer when it gets super busy like during enrollment time.</v>
      </c>
    </row>
    <row r="15">
      <c r="A15" s="3">
        <f>IFERROR(__xludf.DUMMYFUNCTION("""COMPUTED_VALUE"""),46079.41027635417)</f>
        <v>46079.41028</v>
      </c>
      <c r="B15" s="2" t="str">
        <f>IFERROR(__xludf.DUMMYFUNCTION("""COMPUTED_VALUE"""),"Good ")</f>
        <v>Good </v>
      </c>
      <c r="C15" s="2" t="str">
        <f>IFERROR(__xludf.DUMMYFUNCTION("""COMPUTED_VALUE"""),"None")</f>
        <v>None</v>
      </c>
    </row>
    <row r="16">
      <c r="A16" s="3">
        <f>IFERROR(__xludf.DUMMYFUNCTION("""COMPUTED_VALUE"""),46079.416842743056)</f>
        <v>46079.41684</v>
      </c>
      <c r="B16" s="2" t="str">
        <f>IFERROR(__xludf.DUMMYFUNCTION("""COMPUTED_VALUE"""),"the services was good")</f>
        <v>the services was good</v>
      </c>
      <c r="C16" s="2" t="str">
        <f>IFERROR(__xludf.DUMMYFUNCTION("""COMPUTED_VALUE"""),"i have no suggestions")</f>
        <v>i have no suggestions</v>
      </c>
    </row>
    <row r="17">
      <c r="A17" s="3">
        <f>IFERROR(__xludf.DUMMYFUNCTION("""COMPUTED_VALUE"""),46079.41866686342)</f>
        <v>46079.41867</v>
      </c>
      <c r="B17" s="2" t="str">
        <f>IFERROR(__xludf.DUMMYFUNCTION("""COMPUTED_VALUE"""),"good")</f>
        <v>good</v>
      </c>
      <c r="C17" s="2" t="str">
        <f>IFERROR(__xludf.DUMMYFUNCTION("""COMPUTED_VALUE"""),"none")</f>
        <v>none</v>
      </c>
    </row>
    <row r="18">
      <c r="A18" s="3">
        <f>IFERROR(__xludf.DUMMYFUNCTION("""COMPUTED_VALUE"""),46079.42297619213)</f>
        <v>46079.42298</v>
      </c>
      <c r="B18" s="2" t="str">
        <f>IFERROR(__xludf.DUMMYFUNCTION("""COMPUTED_VALUE"""),"Good")</f>
        <v>Good</v>
      </c>
      <c r="C18" s="2" t="str">
        <f>IFERROR(__xludf.DUMMYFUNCTION("""COMPUTED_VALUE"""),"Good")</f>
        <v>Good</v>
      </c>
    </row>
    <row r="19">
      <c r="A19" s="3">
        <f>IFERROR(__xludf.DUMMYFUNCTION("""COMPUTED_VALUE"""),46079.42317041667)</f>
        <v>46079.42317</v>
      </c>
      <c r="B19" s="2" t="str">
        <f>IFERROR(__xludf.DUMMYFUNCTION("""COMPUTED_VALUE"""),"better improve")</f>
        <v>better improve</v>
      </c>
      <c r="C19" s="2" t="str">
        <f>IFERROR(__xludf.DUMMYFUNCTION("""COMPUTED_VALUE"""),"be patient")</f>
        <v>be patient</v>
      </c>
    </row>
    <row r="20">
      <c r="A20" s="3">
        <f>IFERROR(__xludf.DUMMYFUNCTION("""COMPUTED_VALUE"""),46079.42805645833)</f>
        <v>46079.42806</v>
      </c>
      <c r="B20" s="2" t="str">
        <f>IFERROR(__xludf.DUMMYFUNCTION("""COMPUTED_VALUE"""),"N/A")</f>
        <v>N/A</v>
      </c>
      <c r="C20" s="2" t="str">
        <f>IFERROR(__xludf.DUMMYFUNCTION("""COMPUTED_VALUE"""),"N/A")</f>
        <v>N/A</v>
      </c>
    </row>
    <row r="21">
      <c r="A21" s="3">
        <f>IFERROR(__xludf.DUMMYFUNCTION("""COMPUTED_VALUE"""),46079.43353537037)</f>
        <v>46079.43354</v>
      </c>
      <c r="B21" s="2" t="str">
        <f>IFERROR(__xludf.DUMMYFUNCTION("""COMPUTED_VALUE"""),"it’s very convenient to answer ")</f>
        <v>it’s very convenient to answer </v>
      </c>
      <c r="C21" s="2" t="str">
        <f>IFERROR(__xludf.DUMMYFUNCTION("""COMPUTED_VALUE"""),"to have a long understanding to their costumers ")</f>
        <v>to have a long understanding to their costumers </v>
      </c>
    </row>
    <row r="22">
      <c r="A22" s="3">
        <f>IFERROR(__xludf.DUMMYFUNCTION("""COMPUTED_VALUE"""),46079.434420011574)</f>
        <v>46079.43442</v>
      </c>
      <c r="B22" s="2" t="str">
        <f>IFERROR(__xludf.DUMMYFUNCTION("""COMPUTED_VALUE"""),"Really appreciate how the office staff are always so friendly and know their stuff – they get things done pretty quickly too!")</f>
        <v>Really appreciate how the office staff are always so friendly and know their stuff – they get things done pretty quickly too!</v>
      </c>
      <c r="C22" s="2" t="str">
        <f>IFERROR(__xludf.DUMMYFUNCTION("""COMPUTED_VALUE"""),"Just thinking it’d be even better if we could book appointments online to skip the wait, have some simple step-by-step notes up for common tasks, and maybe keep things open a bit longer when it gets super busy like during enrollment time.")</f>
        <v>Just thinking it’d be even better if we could book appointments online to skip the wait, have some simple step-by-step notes up for common tasks, and maybe keep things open a bit longer when it gets super busy like during enrollment time.</v>
      </c>
    </row>
    <row r="23">
      <c r="A23" s="3">
        <f>IFERROR(__xludf.DUMMYFUNCTION("""COMPUTED_VALUE"""),46079.43867456018)</f>
        <v>46079.43867</v>
      </c>
      <c r="B23" s="2" t="str">
        <f>IFERROR(__xludf.DUMMYFUNCTION("""COMPUTED_VALUE"""),"Okay good ")</f>
        <v>Okay good </v>
      </c>
      <c r="C23" s="2" t="str">
        <f>IFERROR(__xludf.DUMMYFUNCTION("""COMPUTED_VALUE"""),"None")</f>
        <v>None</v>
      </c>
    </row>
    <row r="24">
      <c r="A24" s="3">
        <f>IFERROR(__xludf.DUMMYFUNCTION("""COMPUTED_VALUE"""),46079.454697395835)</f>
        <v>46079.4547</v>
      </c>
      <c r="B24" s="2" t="str">
        <f>IFERROR(__xludf.DUMMYFUNCTION("""COMPUTED_VALUE"""),"The services provided by the office are really helpful and reliable. The staff are friendly, approachable, and willing to assist whenever there are questions or concerns. They make sure that people feel guided and supported throughout the process. You can"&amp;" see their effort in making transactions smooth and organized. Overall, the office does a good job in serving and meeting the needs of everyone.")</f>
        <v>The services provided by the office are really helpful and reliable. The staff are friendly, approachable, and willing to assist whenever there are questions or concerns. They make sure that people feel guided and supported throughout the process. You can see their effort in making transactions smooth and organized. Overall, the office does a good job in serving and meeting the needs of everyone.</v>
      </c>
      <c r="C24" s="2" t="str">
        <f>IFERROR(__xludf.DUMMYFUNCTION("""COMPUTED_VALUE"""),"To improve customer experience in this office, I suggest that the staff continue to show kindness, patience, and professionalism when assisting clients. A simple smile and respectful communication can already make customers feel comfortable and valued. It"&amp;" would also be better if the office could reduce waiting time by improving the system or adding more staff during busy hours. Clear instructions and complete information should be posted so clients will not feel confused about the process.")</f>
        <v>To improve customer experience in this office, I suggest that the staff continue to show kindness, patience, and professionalism when assisting clients. A simple smile and respectful communication can already make customers feel comfortable and valued. It would also be better if the office could reduce waiting time by improving the system or adding more staff during busy hours. Clear instructions and complete information should be posted so clients will not feel confused about the process.</v>
      </c>
    </row>
    <row r="25">
      <c r="A25" s="3">
        <f>IFERROR(__xludf.DUMMYFUNCTION("""COMPUTED_VALUE"""),46079.47950021991)</f>
        <v>46079.4795</v>
      </c>
      <c r="B25" s="2" t="str">
        <f>IFERROR(__xludf.DUMMYFUNCTION("""COMPUTED_VALUE"""),"All are good in communication skills")</f>
        <v>All are good in communication skills</v>
      </c>
      <c r="C25" s="2" t="str">
        <f>IFERROR(__xludf.DUMMYFUNCTION("""COMPUTED_VALUE"""),"None")</f>
        <v>None</v>
      </c>
    </row>
    <row r="26">
      <c r="A26" s="3">
        <f>IFERROR(__xludf.DUMMYFUNCTION("""COMPUTED_VALUE"""),46301.72094167824)</f>
        <v>46301.72094</v>
      </c>
      <c r="B26" s="2" t="str">
        <f>IFERROR(__xludf.DUMMYFUNCTION("""COMPUTED_VALUE"""),".")</f>
        <v>.</v>
      </c>
      <c r="C26" s="2" t="str">
        <f>IFERROR(__xludf.DUMMYFUNCTION("""COMPUTED_VALUE"""),".")</f>
        <v>.</v>
      </c>
    </row>
    <row r="27">
      <c r="A27" s="3">
        <f>IFERROR(__xludf.DUMMYFUNCTION("""COMPUTED_VALUE"""),46301.726440370374)</f>
        <v>46301.72644</v>
      </c>
      <c r="B27" s="2" t="str">
        <f>IFERROR(__xludf.DUMMYFUNCTION("""COMPUTED_VALUE"""),"The services were very helpful as they assist students to experience new learning environments, opportunities to improve our skills and knowledge, and build relationship, collaboration, and engagement with both domestic and international teachers and stud"&amp;"ents.")</f>
        <v>The services were very helpful as they assist students to experience new learning environments, opportunities to improve our skills and knowledge, and build relationship, collaboration, and engagement with both domestic and international teachers and students.</v>
      </c>
      <c r="C27" s="2" t="str">
        <f>IFERROR(__xludf.DUMMYFUNCTION("""COMPUTED_VALUE"""),"None")</f>
        <v>None</v>
      </c>
    </row>
    <row r="28">
      <c r="A28" s="3">
        <f>IFERROR(__xludf.DUMMYFUNCTION("""COMPUTED_VALUE"""),46301.73139991898)</f>
        <v>46301.7314</v>
      </c>
      <c r="B28" s="2" t="str">
        <f>IFERROR(__xludf.DUMMYFUNCTION("""COMPUTED_VALUE"""),"I really appreciate how the office makes international learning accessible and affordable for students through great virtual exchange programs and global partnerships.")</f>
        <v>I really appreciate how the office makes international learning accessible and affordable for students through great virtual exchange programs and global partnerships.</v>
      </c>
      <c r="C28" s="2"/>
    </row>
    <row r="29">
      <c r="A29" s="3">
        <f>IFERROR(__xludf.DUMMYFUNCTION("""COMPUTED_VALUE"""),46302.04957315972)</f>
        <v>46302.04957</v>
      </c>
      <c r="B29" s="2" t="str">
        <f>IFERROR(__xludf.DUMMYFUNCTION("""COMPUTED_VALUE"""),"Prompt and accommodating ")</f>
        <v>Prompt and accommodating </v>
      </c>
      <c r="C29" s="2" t="str">
        <f>IFERROR(__xludf.DUMMYFUNCTION("""COMPUTED_VALUE"""),"Keep it up")</f>
        <v>Keep it up</v>
      </c>
    </row>
    <row r="30">
      <c r="A30" s="3">
        <f>IFERROR(__xludf.DUMMYFUNCTION("""COMPUTED_VALUE"""),46302.34574636574)</f>
        <v>46302.34575</v>
      </c>
      <c r="B30" s="2" t="str">
        <f>IFERROR(__xludf.DUMMYFUNCTION("""COMPUTED_VALUE"""),"Excellent")</f>
        <v>Excellent</v>
      </c>
      <c r="C30" s="2"/>
    </row>
    <row r="31">
      <c r="A31" s="3">
        <f>IFERROR(__xludf.DUMMYFUNCTION("""COMPUTED_VALUE"""),46302.62125429398)</f>
        <v>46302.62125</v>
      </c>
      <c r="B31" s="2" t="str">
        <f>IFERROR(__xludf.DUMMYFUNCTION("""COMPUTED_VALUE"""),"Excellent service ")</f>
        <v>Excellent service </v>
      </c>
      <c r="C31" s="2" t="str">
        <f>IFERROR(__xludf.DUMMYFUNCTION("""COMPUTED_VALUE"""),"none")</f>
        <v>none</v>
      </c>
    </row>
    <row r="32">
      <c r="A32" s="3">
        <f>IFERROR(__xludf.DUMMYFUNCTION("""COMPUTED_VALUE"""),46302.637123506945)</f>
        <v>46302.63712</v>
      </c>
      <c r="B32" s="2" t="str">
        <f>IFERROR(__xludf.DUMMYFUNCTION("""COMPUTED_VALUE"""),"N/A")</f>
        <v>N/A</v>
      </c>
      <c r="C32" s="2" t="str">
        <f>IFERROR(__xludf.DUMMYFUNCTION("""COMPUTED_VALUE"""),"N/A")</f>
        <v>N/A</v>
      </c>
    </row>
    <row r="33">
      <c r="A33" s="3">
        <f>IFERROR(__xludf.DUMMYFUNCTION("""COMPUTED_VALUE"""),46302.69964013889)</f>
        <v>46302.69964</v>
      </c>
      <c r="B33" s="2" t="str">
        <f>IFERROR(__xludf.DUMMYFUNCTION("""COMPUTED_VALUE"""),"very good!")</f>
        <v>very good!</v>
      </c>
      <c r="C33" s="2" t="str">
        <f>IFERROR(__xludf.DUMMYFUNCTION("""COMPUTED_VALUE"""),"none")</f>
        <v>none</v>
      </c>
    </row>
    <row r="34">
      <c r="A34" s="3">
        <f>IFERROR(__xludf.DUMMYFUNCTION("""COMPUTED_VALUE"""),46303.93203275463)</f>
        <v>46303.93203</v>
      </c>
      <c r="B34" s="2" t="str">
        <f>IFERROR(__xludf.DUMMYFUNCTION("""COMPUTED_VALUE"""),"Very nice! The Office of Internationalization and Global Engagement has given me a lot of opportunities to further my academic and leadership endeavors.")</f>
        <v>Very nice! The Office of Internationalization and Global Engagement has given me a lot of opportunities to further my academic and leadership endeavors.</v>
      </c>
      <c r="C34" s="2" t="str">
        <f>IFERROR(__xludf.DUMMYFUNCTION("""COMPUTED_VALUE"""),"-")</f>
        <v>-</v>
      </c>
    </row>
  </sheetData>
  <drawing r:id="rId1"/>
</worksheet>
</file>