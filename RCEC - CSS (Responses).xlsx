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>
    <definedName hidden="1" localSheetId="0" name="_xlnm._FilterDatabase">'Form Responses 1'!$A$1:$R$150</definedName>
  </definedNames>
  <calcPr/>
</workbook>
</file>

<file path=xl/sharedStrings.xml><?xml version="1.0" encoding="utf-8"?>
<sst xmlns="http://schemas.openxmlformats.org/spreadsheetml/2006/main" count="772" uniqueCount="136">
  <si>
    <t>Timestamp</t>
  </si>
  <si>
    <t xml:space="preserve">By clicking I AGREE, I am giving consent to FCU to collect and process the information I will give. I acknowledge that this information will solely be used for client satisfaction survey purposes and will not be shared to any third party organization or other affiliation. </t>
  </si>
  <si>
    <t>Date of Transaction</t>
  </si>
  <si>
    <t>Client Type</t>
  </si>
  <si>
    <t>Unit/Affiliation</t>
  </si>
  <si>
    <t>Sex</t>
  </si>
  <si>
    <t>Services Availed: Research, Innovation &amp; Creative Works Office</t>
  </si>
  <si>
    <r>
      <rPr>
        <rFont val="Arial"/>
        <b/>
        <i/>
        <color theme="1"/>
      </rPr>
      <t xml:space="preserve">RESPONSIVENESS: </t>
    </r>
    <r>
      <rPr>
        <rFont val="Arial"/>
        <color theme="1"/>
      </rPr>
      <t>I spent a reasonable amount of time completing my transaction.</t>
    </r>
  </si>
  <si>
    <r>
      <rPr>
        <rFont val="Arial"/>
        <b/>
        <color theme="1"/>
      </rPr>
      <t xml:space="preserve">RELIABILITY: </t>
    </r>
    <r>
      <rPr>
        <rFont val="Arial"/>
        <color theme="1"/>
      </rPr>
      <t>My transaction with the office is consistent with the specified requirements and steps.</t>
    </r>
  </si>
  <si>
    <r>
      <rPr>
        <rFont val="Arial"/>
        <b/>
        <color theme="1"/>
      </rPr>
      <t xml:space="preserve">ACCESS AND FACILITIES: </t>
    </r>
    <r>
      <rPr>
        <rFont val="Arial"/>
        <color theme="1"/>
      </rPr>
      <t>My transaction, including steps and payments was simple and convenient. The service was provided in a conducive environment.</t>
    </r>
  </si>
  <si>
    <r>
      <rPr>
        <rFont val="Arial"/>
        <b/>
        <color theme="1"/>
      </rPr>
      <t xml:space="preserve">COMMUNICATION: </t>
    </r>
    <r>
      <rPr>
        <rFont val="Arial"/>
        <color theme="1"/>
      </rPr>
      <t>The office promptly and clearly communicated the details of my request.</t>
    </r>
  </si>
  <si>
    <r>
      <rPr>
        <rFont val="Arial"/>
        <b/>
        <color theme="1"/>
      </rPr>
      <t>COSTS:</t>
    </r>
    <r>
      <rPr>
        <rFont val="Arial"/>
        <color theme="1"/>
      </rPr>
      <t xml:space="preserve">  The fees I paid for my transaction were fair and reasonable.</t>
    </r>
  </si>
  <si>
    <r>
      <rPr>
        <rFont val="Arial"/>
        <b/>
        <color theme="1"/>
      </rPr>
      <t xml:space="preserve">INTEGRITY: </t>
    </r>
    <r>
      <rPr>
        <rFont val="Arial"/>
        <color theme="1"/>
      </rPr>
      <t>The office treated me fairly and honestly during my transaction.</t>
    </r>
  </si>
  <si>
    <r>
      <rPr>
        <rFont val="Arial"/>
        <b/>
        <color theme="1"/>
      </rPr>
      <t xml:space="preserve">ASSURANCE: </t>
    </r>
    <r>
      <rPr>
        <rFont val="Arial"/>
        <color theme="1"/>
      </rPr>
      <t>I was treated professionally by a knowledgeable and polite staff.</t>
    </r>
  </si>
  <si>
    <r>
      <rPr>
        <rFont val="Arial"/>
        <b/>
        <color theme="1"/>
      </rPr>
      <t>OUTCOME:</t>
    </r>
    <r>
      <rPr>
        <rFont val="Arial"/>
        <color theme="1"/>
      </rPr>
      <t xml:space="preserve"> I’m satisfied with my overall transaction with the office.</t>
    </r>
  </si>
  <si>
    <t xml:space="preserve">How likely are you to recommend our services to others? </t>
  </si>
  <si>
    <t xml:space="preserve">What can you comment about the services provided by the office? </t>
  </si>
  <si>
    <t xml:space="preserve">What are your suggestions to improve customer experience with this office? </t>
  </si>
  <si>
    <t>I AGREE</t>
  </si>
  <si>
    <t>FCU Faculty/Staff</t>
  </si>
  <si>
    <t>RCEC</t>
  </si>
  <si>
    <t>Female</t>
  </si>
  <si>
    <t>Turnitin Plagiarism Checker</t>
  </si>
  <si>
    <t>Student</t>
  </si>
  <si>
    <t>Fast transaction. Thank you</t>
  </si>
  <si>
    <t>GRAD SCHOOL</t>
  </si>
  <si>
    <t>Turnitin Certification</t>
  </si>
  <si>
    <t>Very Accomodating and response fast to queries .</t>
  </si>
  <si>
    <t>Graduate School</t>
  </si>
  <si>
    <t>Male</t>
  </si>
  <si>
    <t>Responsive</t>
  </si>
  <si>
    <t>The staffs are very approachable and give a quick response. Thank you very much.</t>
  </si>
  <si>
    <t>Just continue the very good service.</t>
  </si>
  <si>
    <t>EdD FLT</t>
  </si>
  <si>
    <t>Excellent</t>
  </si>
  <si>
    <t>None</t>
  </si>
  <si>
    <t>The service is good</t>
  </si>
  <si>
    <t>MAT- General Science</t>
  </si>
  <si>
    <t>The staff are can easily be approach or approachable, willing to help the client, the connectivity in order to upload our data..Very consistent in terms of Service. Congratulations!</t>
  </si>
  <si>
    <t>the services provided by the office was very accommodating and approachable.</t>
  </si>
  <si>
    <t>none</t>
  </si>
  <si>
    <t xml:space="preserve">Graduate school </t>
  </si>
  <si>
    <t xml:space="preserve">Excellent </t>
  </si>
  <si>
    <t xml:space="preserve">None </t>
  </si>
  <si>
    <t>Graduate School Student/EdD-FLT</t>
  </si>
  <si>
    <t>Excellent Service</t>
  </si>
  <si>
    <t>Keep it as your BEST Practice!</t>
  </si>
  <si>
    <t>Research Consultancy</t>
  </si>
  <si>
    <t>ASU-CTE</t>
  </si>
  <si>
    <t>Instructions on uploading.</t>
  </si>
  <si>
    <t>Roman Catholic</t>
  </si>
  <si>
    <t>Graduate Studies</t>
  </si>
  <si>
    <t>SHS</t>
  </si>
  <si>
    <t>Activity/Event/Seminar Evaluation Data Analysis and Report</t>
  </si>
  <si>
    <t>12/6/0025</t>
  </si>
  <si>
    <t>Chaplain’s Office</t>
  </si>
  <si>
    <t>Grad School</t>
  </si>
  <si>
    <t>Very quick and seamless</t>
  </si>
  <si>
    <t xml:space="preserve"> </t>
  </si>
  <si>
    <t xml:space="preserve">Elementary </t>
  </si>
  <si>
    <t xml:space="preserve">Truly grateful for being accommodated with such respect and warmth. </t>
  </si>
  <si>
    <t>excellent</t>
  </si>
  <si>
    <t>DepEd</t>
  </si>
  <si>
    <t>SUC</t>
  </si>
  <si>
    <t>Very nice.</t>
  </si>
  <si>
    <t>N/A</t>
  </si>
  <si>
    <t>GRADUATE SCHOOL</t>
  </si>
  <si>
    <t>They are very helpful in answering my inquiries.</t>
  </si>
  <si>
    <t>Keep up the good work!</t>
  </si>
  <si>
    <t>Alumni</t>
  </si>
  <si>
    <t xml:space="preserve">Unit 4 / Bachelor of Science in tourism management </t>
  </si>
  <si>
    <t xml:space="preserve">All the staff are very Polite and Very Professionalism </t>
  </si>
  <si>
    <t>Very smooth and fast transaction. Convenient!</t>
  </si>
  <si>
    <t xml:space="preserve">Very accommodating </t>
  </si>
  <si>
    <t xml:space="preserve">Deped- Commissioner Luis R Asis NHS </t>
  </si>
  <si>
    <t>The transaction is smooth and fast.</t>
  </si>
  <si>
    <t>GCC</t>
  </si>
  <si>
    <t xml:space="preserve">CCJE </t>
  </si>
  <si>
    <t>Office provides helpful and organized services. The staff are accommodating and give clear guidance</t>
  </si>
  <si>
    <t>Research Consultancy, Statistical Data Analysis/Consultancy (Research), Turnitin Plagiarism Checker</t>
  </si>
  <si>
    <t>CHTM</t>
  </si>
  <si>
    <t>Statistical Data Analysis/Consultancy (Research)</t>
  </si>
  <si>
    <t>The staff and working students are approachable.</t>
  </si>
  <si>
    <t>Student/BSTM</t>
  </si>
  <si>
    <t>3/6/0026</t>
  </si>
  <si>
    <t>Excellent 
Very polite and accommodating staff</t>
  </si>
  <si>
    <t xml:space="preserve">Not
Perfect </t>
  </si>
  <si>
    <t>Aklan State University-Ibajay Campus</t>
  </si>
  <si>
    <t>Fair and very hospitable.</t>
  </si>
  <si>
    <t>Maybe faster internet connection, aside from it, all aspect shows excellence!</t>
  </si>
  <si>
    <t xml:space="preserve">The staff was really approachable, accommodating, and kind. You should keep this kind of employee. Thank you. </t>
  </si>
  <si>
    <t>Grade School</t>
  </si>
  <si>
    <t>Exemplary</t>
  </si>
  <si>
    <t>“It would be better to place clear signage in strategic areas since the office is a bit hard to find. Directional signs like ‘This Way to the Research Office’ would really help clients locate and improve their overall experience.” Thank You!</t>
  </si>
  <si>
    <t>MAT-FILIPINO</t>
  </si>
  <si>
    <t xml:space="preserve">The office services was knowledgeable and helpful staff. </t>
  </si>
  <si>
    <t>Improve customer experience by providing faster feedback and timely updates on online transactions</t>
  </si>
  <si>
    <t>MAT- Eglish Graduate School</t>
  </si>
  <si>
    <t>Thank you so much and God Bless</t>
  </si>
  <si>
    <t>MAT - Fil</t>
  </si>
  <si>
    <t xml:space="preserve">Turnitin Plagiarism Checker, </t>
  </si>
  <si>
    <t>NA</t>
  </si>
  <si>
    <t>DepEd Capiz Division (District of Pilar)</t>
  </si>
  <si>
    <t>The services provided by the office were very helpful and efficient. The guidance and tools, especially Turnitin, greatly assisted me in improving my work and reducing my similarity score.</t>
  </si>
  <si>
    <t>To further improve customer experience, the office may consider providing clearer guidelines or tutorials on how to reduce similarity scores and properly use Turnitin.</t>
  </si>
  <si>
    <t>Everyone is accommodating and helpful</t>
  </si>
  <si>
    <t>Research</t>
  </si>
  <si>
    <t>Excellent service that ended to a satisfied customer.</t>
  </si>
  <si>
    <t xml:space="preserve">Keep it up. </t>
  </si>
  <si>
    <t xml:space="preserve">Excellence service </t>
  </si>
  <si>
    <t>Good service and very accommodating. Thank you</t>
  </si>
  <si>
    <t>Best service</t>
  </si>
  <si>
    <t>College of Computer Studies</t>
  </si>
  <si>
    <t>Very accommodating, kind and approachable. She shows her best smile always. Thank you so much, Ma'am Gallaza. You're the best ❤️</t>
  </si>
  <si>
    <t>n/a</t>
  </si>
  <si>
    <t>CCS</t>
  </si>
  <si>
    <t>the transaction was faster and it meet my needs, thank you!</t>
  </si>
  <si>
    <t>Respoinsive and timely.</t>
  </si>
  <si>
    <t>BACOLOD CITY COLLEGE</t>
  </si>
  <si>
    <t>College of Teacher Education</t>
  </si>
  <si>
    <t>good and very accommodating. thank you!</t>
  </si>
  <si>
    <t>it's fast and accommodating</t>
  </si>
  <si>
    <t>certificate</t>
  </si>
  <si>
    <t>Thank you so much Filamerians and God bless</t>
  </si>
  <si>
    <t xml:space="preserve">Very satified
</t>
  </si>
  <si>
    <t>Very approachable and accommodating staff Thank you</t>
  </si>
  <si>
    <t>Thank you for a well-accommodated transaction</t>
  </si>
  <si>
    <t>Thank you for your service</t>
  </si>
  <si>
    <t>graduate school</t>
  </si>
  <si>
    <t>Thank you very much</t>
  </si>
  <si>
    <t>Prefer not to say</t>
  </si>
  <si>
    <t>keep up the exemplary performance thank you</t>
  </si>
  <si>
    <t>check</t>
  </si>
  <si>
    <t>great job thank you</t>
  </si>
  <si>
    <t>Research Consultancy, Turnitin Plagiarism Checker</t>
  </si>
  <si>
    <t xml:space="preserve">SHS Department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</si>
</sst>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14" xfId="0" applyAlignment="1" applyFill="1" applyFont="1" applyNumberFormat="1">
      <alignment readingOrder="0" shrinkToFit="0" vertical="center" wrapText="0"/>
    </xf>
    <xf borderId="0" fillId="2" fontId="1" numFmtId="0" xfId="0" applyFill="1" applyFont="1"/>
    <xf borderId="0" fillId="2" fontId="1" numFmtId="0" xfId="0" applyAlignment="1" applyFill="1" applyFont="1">
      <alignment shrinkToFit="0" vertical="center" wrapText="0"/>
    </xf>
    <xf borderId="0" fillId="3" fontId="1" numFmtId="164" xfId="0" applyAlignment="1" applyFill="1" applyFont="1" applyNumberForma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3" fontId="1" numFmtId="14" xfId="0" applyAlignment="1" applyFill="1" applyFont="1" applyNumberFormat="1">
      <alignment readingOrder="0" shrinkToFit="0" vertical="center" wrapText="0"/>
    </xf>
    <xf borderId="0" fillId="3" fontId="1" numFmtId="0" xfId="0" applyAlignment="1" applyFill="1" applyFont="1">
      <alignment shrinkToFit="0" vertical="center" wrapText="0"/>
    </xf>
    <xf borderId="0" fillId="3" fontId="1" numFmtId="0" xfId="0" applyFill="1" applyFont="1"/>
    <xf borderId="0" fillId="0" fontId="1" numFmtId="164" xfId="0" applyFont="1" applyNumberFormat="1"/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50" displayName="Form_Responses" name="Form_Responses" id="1">
  <autoFilter ref="$A$1:$R$150"/>
  <tableColumns count="18">
    <tableColumn name="Timestamp" id="1"/>
    <tableColumn name="By clicking I AGREE, I am giving consent to FCU to collect and process the information I will give. I acknowledge that this information will solely be used for client satisfaction survey purposes and will not be shared to any third party organization or other affiliation. " id="2"/>
    <tableColumn name="Date of Transaction" id="3"/>
    <tableColumn name="Client Type" id="4"/>
    <tableColumn name="Unit/Affiliation" id="5"/>
    <tableColumn name="Sex" id="6"/>
    <tableColumn name="Services Availed: Research, Innovation &amp; Creative Works Office" id="7"/>
    <tableColumn name="RESPONSIVENESS: I spent a reasonable amount of time completing my transaction." id="8"/>
    <tableColumn name="RELIABILITY: My transaction with the office is consistent with the specified requirements and steps." id="9"/>
    <tableColumn name="ACCESS AND FACILITIES: My transaction, including steps and payments was simple and convenient. The service was provided in a conducive environment." id="10"/>
    <tableColumn name="COMMUNICATION: The office promptly and clearly communicated the details of my request." id="11"/>
    <tableColumn name="COSTS:  The fees I paid for my transaction were fair and reasonable." id="12"/>
    <tableColumn name="INTEGRITY: The office treated me fairly and honestly during my transaction." id="13"/>
    <tableColumn name="ASSURANCE: I was treated professionally by a knowledgeable and polite staff." id="14"/>
    <tableColumn name="OUTCOME: I’m satisfied with my overall transaction with the office." id="15"/>
    <tableColumn name="How likely are you to recommend our services to others? " id="16"/>
    <tableColumn name="What can you comment about the services provided by the office? " id="17"/>
    <tableColumn name="What are your suggestions to improve customer experience with this office? 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9.63"/>
    <col customWidth="1" min="4" max="6" width="18.88"/>
    <col customWidth="1" min="7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1" t="s">
        <v>17</v>
      </c>
    </row>
    <row r="2" ht="22.5" customHeight="1">
      <c r="A2" s="3">
        <v>45931.462329375005</v>
      </c>
      <c r="B2" s="4" t="s">
        <v>18</v>
      </c>
      <c r="C2" s="5">
        <v>45931.0</v>
      </c>
      <c r="D2" s="4" t="s">
        <v>19</v>
      </c>
      <c r="E2" s="4" t="s">
        <v>20</v>
      </c>
      <c r="F2" s="4" t="s">
        <v>21</v>
      </c>
      <c r="G2" s="4" t="s">
        <v>22</v>
      </c>
      <c r="H2" s="4">
        <v>5.0</v>
      </c>
      <c r="I2" s="4">
        <v>5.0</v>
      </c>
      <c r="J2" s="4">
        <v>5.0</v>
      </c>
      <c r="K2" s="4">
        <v>5.0</v>
      </c>
      <c r="L2" s="4">
        <v>5.0</v>
      </c>
      <c r="M2" s="4">
        <v>5.0</v>
      </c>
      <c r="N2" s="4">
        <v>5.0</v>
      </c>
      <c r="O2" s="4">
        <v>5.0</v>
      </c>
      <c r="P2" s="4">
        <v>10.0</v>
      </c>
      <c r="Q2" s="6"/>
      <c r="R2" s="6"/>
    </row>
    <row r="3" ht="22.5" customHeight="1">
      <c r="A3" s="7">
        <v>45943.68706568287</v>
      </c>
      <c r="B3" s="8" t="s">
        <v>18</v>
      </c>
      <c r="C3" s="9">
        <v>45943.0</v>
      </c>
      <c r="D3" s="8" t="s">
        <v>23</v>
      </c>
      <c r="F3" s="8" t="s">
        <v>21</v>
      </c>
      <c r="G3" s="8" t="s">
        <v>22</v>
      </c>
      <c r="H3" s="8">
        <v>5.0</v>
      </c>
      <c r="I3" s="8">
        <v>5.0</v>
      </c>
      <c r="J3" s="8">
        <v>5.0</v>
      </c>
      <c r="K3" s="8">
        <v>5.0</v>
      </c>
      <c r="L3" s="8">
        <v>5.0</v>
      </c>
      <c r="M3" s="8">
        <v>5.0</v>
      </c>
      <c r="N3" s="8">
        <v>5.0</v>
      </c>
      <c r="O3" s="8">
        <v>5.0</v>
      </c>
      <c r="P3" s="8">
        <v>10.0</v>
      </c>
      <c r="Q3" s="8" t="s">
        <v>24</v>
      </c>
    </row>
    <row r="4" ht="22.5" customHeight="1">
      <c r="A4" s="7">
        <v>45944.68147866898</v>
      </c>
      <c r="B4" s="8" t="s">
        <v>18</v>
      </c>
      <c r="C4" s="9">
        <v>45944.0</v>
      </c>
      <c r="D4" s="8" t="s">
        <v>23</v>
      </c>
      <c r="E4" s="8" t="s">
        <v>25</v>
      </c>
      <c r="F4" s="8" t="s">
        <v>21</v>
      </c>
      <c r="G4" s="8" t="s">
        <v>26</v>
      </c>
      <c r="H4" s="8">
        <v>5.0</v>
      </c>
      <c r="I4" s="8">
        <v>5.0</v>
      </c>
      <c r="J4" s="8">
        <v>5.0</v>
      </c>
      <c r="K4" s="8">
        <v>5.0</v>
      </c>
      <c r="L4" s="8">
        <v>5.0</v>
      </c>
      <c r="M4" s="8">
        <v>5.0</v>
      </c>
      <c r="N4" s="8">
        <v>5.0</v>
      </c>
      <c r="O4" s="8">
        <v>5.0</v>
      </c>
      <c r="P4" s="8">
        <v>10.0</v>
      </c>
    </row>
    <row r="5" ht="22.5" customHeight="1">
      <c r="A5" s="7">
        <v>45946.552150648145</v>
      </c>
      <c r="B5" s="8" t="s">
        <v>18</v>
      </c>
      <c r="C5" s="9">
        <v>45946.0</v>
      </c>
      <c r="D5" s="8" t="s">
        <v>23</v>
      </c>
      <c r="F5" s="8" t="s">
        <v>21</v>
      </c>
      <c r="G5" s="8" t="s">
        <v>22</v>
      </c>
      <c r="H5" s="8">
        <v>5.0</v>
      </c>
      <c r="I5" s="8">
        <v>5.0</v>
      </c>
      <c r="J5" s="8">
        <v>5.0</v>
      </c>
      <c r="K5" s="8">
        <v>5.0</v>
      </c>
      <c r="L5" s="8">
        <v>5.0</v>
      </c>
      <c r="M5" s="8">
        <v>5.0</v>
      </c>
      <c r="N5" s="8">
        <v>5.0</v>
      </c>
      <c r="O5" s="8">
        <v>5.0</v>
      </c>
      <c r="P5" s="8">
        <v>10.0</v>
      </c>
      <c r="Q5" s="8" t="s">
        <v>27</v>
      </c>
    </row>
    <row r="6" ht="22.5" customHeight="1">
      <c r="A6" s="7">
        <v>45953.67156912037</v>
      </c>
      <c r="B6" s="8" t="s">
        <v>18</v>
      </c>
      <c r="C6" s="9">
        <v>411158.0</v>
      </c>
      <c r="D6" s="8" t="s">
        <v>23</v>
      </c>
      <c r="E6" s="8" t="s">
        <v>28</v>
      </c>
      <c r="F6" s="8" t="s">
        <v>29</v>
      </c>
      <c r="G6" s="8" t="s">
        <v>22</v>
      </c>
      <c r="H6" s="8">
        <v>5.0</v>
      </c>
      <c r="I6" s="8">
        <v>5.0</v>
      </c>
      <c r="J6" s="8">
        <v>5.0</v>
      </c>
      <c r="K6" s="8">
        <v>5.0</v>
      </c>
      <c r="L6" s="8">
        <v>5.0</v>
      </c>
      <c r="M6" s="8">
        <v>5.0</v>
      </c>
      <c r="N6" s="8">
        <v>5.0</v>
      </c>
      <c r="O6" s="8">
        <v>5.0</v>
      </c>
      <c r="P6" s="8">
        <v>10.0</v>
      </c>
      <c r="Q6" s="8" t="s">
        <v>30</v>
      </c>
    </row>
    <row r="7" ht="22.5" customHeight="1">
      <c r="A7" s="7">
        <v>45954.601797152776</v>
      </c>
      <c r="B7" s="8" t="s">
        <v>18</v>
      </c>
      <c r="C7" s="9">
        <v>45954.0</v>
      </c>
      <c r="D7" s="8" t="s">
        <v>23</v>
      </c>
      <c r="F7" s="8" t="s">
        <v>21</v>
      </c>
      <c r="G7" s="8" t="s">
        <v>22</v>
      </c>
      <c r="H7" s="8">
        <v>5.0</v>
      </c>
      <c r="I7" s="8">
        <v>5.0</v>
      </c>
      <c r="J7" s="8">
        <v>5.0</v>
      </c>
      <c r="K7" s="8">
        <v>5.0</v>
      </c>
      <c r="L7" s="8">
        <v>5.0</v>
      </c>
      <c r="M7" s="8">
        <v>5.0</v>
      </c>
      <c r="N7" s="8">
        <v>5.0</v>
      </c>
      <c r="O7" s="8">
        <v>5.0</v>
      </c>
      <c r="P7" s="8">
        <v>10.0</v>
      </c>
    </row>
    <row r="8" ht="22.5" customHeight="1">
      <c r="A8" s="7">
        <v>45967.68038371528</v>
      </c>
      <c r="B8" s="8" t="s">
        <v>18</v>
      </c>
      <c r="C8" s="9">
        <v>38662.0</v>
      </c>
      <c r="D8" s="8" t="s">
        <v>23</v>
      </c>
      <c r="F8" s="8" t="s">
        <v>21</v>
      </c>
      <c r="G8" s="8" t="s">
        <v>22</v>
      </c>
      <c r="H8" s="8">
        <v>5.0</v>
      </c>
      <c r="I8" s="8">
        <v>5.0</v>
      </c>
      <c r="J8" s="8">
        <v>5.0</v>
      </c>
      <c r="K8" s="8">
        <v>5.0</v>
      </c>
      <c r="L8" s="8">
        <v>5.0</v>
      </c>
      <c r="M8" s="8">
        <v>5.0</v>
      </c>
      <c r="N8" s="8">
        <v>5.0</v>
      </c>
      <c r="O8" s="8">
        <v>5.0</v>
      </c>
      <c r="P8" s="8">
        <v>10.0</v>
      </c>
      <c r="Q8" s="8" t="s">
        <v>31</v>
      </c>
      <c r="R8" s="8" t="s">
        <v>32</v>
      </c>
    </row>
    <row r="9" ht="22.5" customHeight="1">
      <c r="A9" s="7">
        <v>45973.64719674768</v>
      </c>
      <c r="B9" s="8" t="s">
        <v>18</v>
      </c>
      <c r="C9" s="9">
        <v>45973.0</v>
      </c>
      <c r="D9" s="8" t="s">
        <v>23</v>
      </c>
      <c r="E9" s="8" t="s">
        <v>33</v>
      </c>
      <c r="F9" s="8" t="s">
        <v>21</v>
      </c>
      <c r="G9" s="8" t="s">
        <v>22</v>
      </c>
      <c r="H9" s="8">
        <v>5.0</v>
      </c>
      <c r="I9" s="8">
        <v>5.0</v>
      </c>
      <c r="J9" s="8">
        <v>5.0</v>
      </c>
      <c r="K9" s="8">
        <v>5.0</v>
      </c>
      <c r="L9" s="8">
        <v>5.0</v>
      </c>
      <c r="M9" s="8">
        <v>5.0</v>
      </c>
      <c r="N9" s="8">
        <v>5.0</v>
      </c>
      <c r="O9" s="8">
        <v>5.0</v>
      </c>
      <c r="P9" s="8">
        <v>10.0</v>
      </c>
      <c r="Q9" s="8" t="s">
        <v>34</v>
      </c>
      <c r="R9" s="8" t="s">
        <v>35</v>
      </c>
    </row>
    <row r="10" ht="22.5" customHeight="1">
      <c r="A10" s="7">
        <v>45973.6475922338</v>
      </c>
      <c r="B10" s="8" t="s">
        <v>18</v>
      </c>
      <c r="C10" s="9">
        <v>45973.0</v>
      </c>
      <c r="D10" s="8" t="s">
        <v>23</v>
      </c>
      <c r="F10" s="8" t="s">
        <v>21</v>
      </c>
      <c r="G10" s="8" t="s">
        <v>22</v>
      </c>
      <c r="H10" s="8">
        <v>5.0</v>
      </c>
      <c r="I10" s="8">
        <v>5.0</v>
      </c>
      <c r="J10" s="8">
        <v>5.0</v>
      </c>
      <c r="K10" s="8">
        <v>5.0</v>
      </c>
      <c r="L10" s="8">
        <v>5.0</v>
      </c>
      <c r="M10" s="8">
        <v>5.0</v>
      </c>
      <c r="N10" s="8">
        <v>5.0</v>
      </c>
      <c r="O10" s="8">
        <v>5.0</v>
      </c>
      <c r="P10" s="8">
        <v>10.0</v>
      </c>
    </row>
    <row r="11" ht="22.5" customHeight="1">
      <c r="A11" s="7">
        <v>45973.78887153935</v>
      </c>
      <c r="B11" s="8" t="s">
        <v>18</v>
      </c>
      <c r="C11" s="9">
        <v>45973.0</v>
      </c>
      <c r="D11" s="8" t="s">
        <v>23</v>
      </c>
      <c r="F11" s="8" t="s">
        <v>29</v>
      </c>
      <c r="G11" s="8" t="s">
        <v>22</v>
      </c>
      <c r="H11" s="8">
        <v>5.0</v>
      </c>
      <c r="I11" s="8">
        <v>5.0</v>
      </c>
      <c r="J11" s="8">
        <v>5.0</v>
      </c>
      <c r="K11" s="8">
        <v>5.0</v>
      </c>
      <c r="L11" s="8">
        <v>3.0</v>
      </c>
      <c r="M11" s="8">
        <v>5.0</v>
      </c>
      <c r="N11" s="8">
        <v>5.0</v>
      </c>
      <c r="O11" s="8">
        <v>5.0</v>
      </c>
      <c r="P11" s="8">
        <v>10.0</v>
      </c>
    </row>
    <row r="12" ht="22.5" customHeight="1">
      <c r="A12" s="7">
        <v>45974.63293020833</v>
      </c>
      <c r="B12" s="8" t="s">
        <v>18</v>
      </c>
      <c r="C12" s="9">
        <v>45968.0</v>
      </c>
      <c r="D12" s="8" t="s">
        <v>23</v>
      </c>
      <c r="F12" s="8" t="s">
        <v>21</v>
      </c>
      <c r="G12" s="8" t="s">
        <v>22</v>
      </c>
      <c r="H12" s="8">
        <v>5.0</v>
      </c>
      <c r="I12" s="8">
        <v>5.0</v>
      </c>
      <c r="J12" s="8">
        <v>5.0</v>
      </c>
      <c r="K12" s="8">
        <v>5.0</v>
      </c>
      <c r="L12" s="8">
        <v>5.0</v>
      </c>
      <c r="M12" s="8">
        <v>5.0</v>
      </c>
      <c r="N12" s="8">
        <v>5.0</v>
      </c>
      <c r="O12" s="8">
        <v>5.0</v>
      </c>
      <c r="P12" s="8">
        <v>10.0</v>
      </c>
    </row>
    <row r="13" ht="22.5" customHeight="1">
      <c r="A13" s="7">
        <v>45974.645569409724</v>
      </c>
      <c r="B13" s="8" t="s">
        <v>18</v>
      </c>
      <c r="C13" s="9">
        <v>45973.0</v>
      </c>
      <c r="D13" s="8" t="s">
        <v>23</v>
      </c>
      <c r="F13" s="8" t="s">
        <v>21</v>
      </c>
      <c r="G13" s="8" t="s">
        <v>22</v>
      </c>
      <c r="H13" s="8">
        <v>5.0</v>
      </c>
      <c r="I13" s="8">
        <v>5.0</v>
      </c>
      <c r="J13" s="8">
        <v>5.0</v>
      </c>
      <c r="K13" s="8">
        <v>5.0</v>
      </c>
      <c r="L13" s="8">
        <v>4.0</v>
      </c>
      <c r="M13" s="8">
        <v>5.0</v>
      </c>
      <c r="N13" s="8">
        <v>5.0</v>
      </c>
      <c r="O13" s="8">
        <v>5.0</v>
      </c>
      <c r="P13" s="8">
        <v>9.0</v>
      </c>
    </row>
    <row r="14" ht="22.5" customHeight="1">
      <c r="A14" s="7">
        <v>45975.41850696759</v>
      </c>
      <c r="B14" s="8" t="s">
        <v>18</v>
      </c>
      <c r="C14" s="9">
        <v>45974.0</v>
      </c>
      <c r="D14" s="8" t="s">
        <v>23</v>
      </c>
      <c r="E14" s="8" t="s">
        <v>28</v>
      </c>
      <c r="F14" s="8" t="s">
        <v>21</v>
      </c>
      <c r="G14" s="8" t="s">
        <v>22</v>
      </c>
      <c r="H14" s="8">
        <v>5.0</v>
      </c>
      <c r="I14" s="8">
        <v>5.0</v>
      </c>
      <c r="J14" s="8">
        <v>5.0</v>
      </c>
      <c r="K14" s="8">
        <v>5.0</v>
      </c>
      <c r="L14" s="8">
        <v>5.0</v>
      </c>
      <c r="M14" s="8">
        <v>5.0</v>
      </c>
      <c r="N14" s="8">
        <v>5.0</v>
      </c>
      <c r="O14" s="8">
        <v>5.0</v>
      </c>
      <c r="P14" s="8">
        <v>10.0</v>
      </c>
      <c r="Q14" s="8" t="s">
        <v>36</v>
      </c>
      <c r="R14" s="8" t="s">
        <v>35</v>
      </c>
    </row>
    <row r="15" ht="22.5" customHeight="1">
      <c r="A15" s="7">
        <v>45975.47637621527</v>
      </c>
      <c r="B15" s="8" t="s">
        <v>18</v>
      </c>
      <c r="C15" s="9">
        <v>45975.0</v>
      </c>
      <c r="D15" s="8" t="s">
        <v>23</v>
      </c>
      <c r="E15" s="8" t="s">
        <v>37</v>
      </c>
      <c r="F15" s="8" t="s">
        <v>21</v>
      </c>
      <c r="G15" s="8" t="s">
        <v>22</v>
      </c>
      <c r="H15" s="8">
        <v>5.0</v>
      </c>
      <c r="I15" s="8">
        <v>5.0</v>
      </c>
      <c r="J15" s="8">
        <v>5.0</v>
      </c>
      <c r="K15" s="8">
        <v>5.0</v>
      </c>
      <c r="L15" s="8">
        <v>5.0</v>
      </c>
      <c r="M15" s="8">
        <v>5.0</v>
      </c>
      <c r="N15" s="8">
        <v>5.0</v>
      </c>
      <c r="O15" s="8">
        <v>5.0</v>
      </c>
      <c r="P15" s="8">
        <v>10.0</v>
      </c>
      <c r="Q15" s="8" t="s">
        <v>38</v>
      </c>
    </row>
    <row r="16" ht="22.5" customHeight="1">
      <c r="A16" s="7">
        <v>45975.586831030094</v>
      </c>
      <c r="B16" s="8" t="s">
        <v>18</v>
      </c>
      <c r="C16" s="9">
        <v>45975.0</v>
      </c>
      <c r="D16" s="8" t="s">
        <v>23</v>
      </c>
      <c r="E16" s="8" t="s">
        <v>37</v>
      </c>
      <c r="F16" s="8" t="s">
        <v>21</v>
      </c>
      <c r="G16" s="8" t="s">
        <v>22</v>
      </c>
      <c r="H16" s="8">
        <v>5.0</v>
      </c>
      <c r="I16" s="8">
        <v>5.0</v>
      </c>
      <c r="J16" s="8">
        <v>5.0</v>
      </c>
      <c r="K16" s="8">
        <v>5.0</v>
      </c>
      <c r="L16" s="8">
        <v>5.0</v>
      </c>
      <c r="M16" s="8">
        <v>5.0</v>
      </c>
      <c r="N16" s="8">
        <v>5.0</v>
      </c>
      <c r="O16" s="8">
        <v>5.0</v>
      </c>
      <c r="P16" s="8">
        <v>10.0</v>
      </c>
      <c r="Q16" s="8" t="s">
        <v>39</v>
      </c>
      <c r="R16" s="8" t="s">
        <v>40</v>
      </c>
    </row>
    <row r="17" ht="22.5" customHeight="1">
      <c r="A17" s="7">
        <v>45975.608258148146</v>
      </c>
      <c r="B17" s="8" t="s">
        <v>18</v>
      </c>
      <c r="C17" s="9">
        <v>45974.0</v>
      </c>
      <c r="D17" s="8" t="s">
        <v>23</v>
      </c>
      <c r="E17" s="8" t="s">
        <v>41</v>
      </c>
      <c r="F17" s="8" t="s">
        <v>29</v>
      </c>
      <c r="G17" s="8" t="s">
        <v>22</v>
      </c>
      <c r="H17" s="8">
        <v>5.0</v>
      </c>
      <c r="I17" s="8">
        <v>5.0</v>
      </c>
      <c r="J17" s="8">
        <v>5.0</v>
      </c>
      <c r="K17" s="8">
        <v>5.0</v>
      </c>
      <c r="L17" s="8">
        <v>5.0</v>
      </c>
      <c r="M17" s="8">
        <v>5.0</v>
      </c>
      <c r="N17" s="8">
        <v>5.0</v>
      </c>
      <c r="O17" s="8">
        <v>5.0</v>
      </c>
      <c r="P17" s="8">
        <v>10.0</v>
      </c>
      <c r="Q17" s="8" t="s">
        <v>42</v>
      </c>
      <c r="R17" s="8" t="s">
        <v>43</v>
      </c>
    </row>
    <row r="18" ht="22.5" customHeight="1">
      <c r="A18" s="7">
        <v>45975.62825797454</v>
      </c>
      <c r="B18" s="8" t="s">
        <v>18</v>
      </c>
      <c r="C18" s="9">
        <v>33557.0</v>
      </c>
      <c r="D18" s="8" t="s">
        <v>23</v>
      </c>
      <c r="F18" s="8" t="s">
        <v>29</v>
      </c>
      <c r="G18" s="8" t="s">
        <v>22</v>
      </c>
      <c r="H18" s="8">
        <v>5.0</v>
      </c>
      <c r="I18" s="8">
        <v>5.0</v>
      </c>
      <c r="J18" s="8">
        <v>5.0</v>
      </c>
      <c r="K18" s="8">
        <v>5.0</v>
      </c>
      <c r="L18" s="8">
        <v>5.0</v>
      </c>
      <c r="M18" s="8">
        <v>5.0</v>
      </c>
      <c r="N18" s="8">
        <v>5.0</v>
      </c>
      <c r="O18" s="8">
        <v>5.0</v>
      </c>
      <c r="P18" s="8">
        <v>10.0</v>
      </c>
    </row>
    <row r="19" ht="22.5" customHeight="1">
      <c r="A19" s="7">
        <v>45975.70662412037</v>
      </c>
      <c r="B19" s="8" t="s">
        <v>18</v>
      </c>
      <c r="C19" s="9">
        <v>45975.0</v>
      </c>
      <c r="D19" s="8" t="s">
        <v>23</v>
      </c>
      <c r="F19" s="8" t="s">
        <v>21</v>
      </c>
      <c r="G19" s="8" t="s">
        <v>22</v>
      </c>
      <c r="H19" s="8">
        <v>4.0</v>
      </c>
      <c r="I19" s="8">
        <v>5.0</v>
      </c>
      <c r="J19" s="8">
        <v>5.0</v>
      </c>
      <c r="K19" s="8">
        <v>5.0</v>
      </c>
      <c r="L19" s="8">
        <v>4.0</v>
      </c>
      <c r="M19" s="8">
        <v>5.0</v>
      </c>
      <c r="N19" s="8">
        <v>5.0</v>
      </c>
      <c r="O19" s="8">
        <v>5.0</v>
      </c>
      <c r="P19" s="8">
        <v>10.0</v>
      </c>
    </row>
    <row r="20" ht="22.5" customHeight="1">
      <c r="A20" s="7">
        <v>45975.92148009259</v>
      </c>
      <c r="B20" s="8" t="s">
        <v>18</v>
      </c>
      <c r="C20" s="9">
        <v>45975.0</v>
      </c>
      <c r="D20" s="8" t="s">
        <v>23</v>
      </c>
      <c r="F20" s="8" t="s">
        <v>21</v>
      </c>
      <c r="G20" s="8" t="s">
        <v>22</v>
      </c>
      <c r="H20" s="8">
        <v>5.0</v>
      </c>
      <c r="I20" s="8">
        <v>5.0</v>
      </c>
      <c r="J20" s="8">
        <v>5.0</v>
      </c>
      <c r="K20" s="8">
        <v>5.0</v>
      </c>
      <c r="L20" s="8">
        <v>5.0</v>
      </c>
      <c r="M20" s="8">
        <v>5.0</v>
      </c>
      <c r="N20" s="8">
        <v>5.0</v>
      </c>
      <c r="O20" s="8">
        <v>5.0</v>
      </c>
      <c r="P20" s="8">
        <v>10.0</v>
      </c>
    </row>
    <row r="21" ht="22.5" customHeight="1">
      <c r="A21" s="7">
        <v>45980.398047627314</v>
      </c>
      <c r="B21" s="8" t="s">
        <v>18</v>
      </c>
      <c r="C21" s="9">
        <v>45973.0</v>
      </c>
      <c r="D21" s="8" t="s">
        <v>23</v>
      </c>
      <c r="E21" s="8" t="s">
        <v>44</v>
      </c>
      <c r="F21" s="8" t="s">
        <v>29</v>
      </c>
      <c r="G21" s="8" t="s">
        <v>22</v>
      </c>
      <c r="H21" s="8">
        <v>5.0</v>
      </c>
      <c r="I21" s="8">
        <v>5.0</v>
      </c>
      <c r="J21" s="8">
        <v>5.0</v>
      </c>
      <c r="K21" s="8">
        <v>5.0</v>
      </c>
      <c r="L21" s="8">
        <v>5.0</v>
      </c>
      <c r="M21" s="8">
        <v>5.0</v>
      </c>
      <c r="N21" s="8">
        <v>5.0</v>
      </c>
      <c r="O21" s="8">
        <v>5.0</v>
      </c>
      <c r="P21" s="8">
        <v>10.0</v>
      </c>
      <c r="Q21" s="8" t="s">
        <v>45</v>
      </c>
      <c r="R21" s="8" t="s">
        <v>46</v>
      </c>
    </row>
    <row r="22" ht="22.5" customHeight="1">
      <c r="A22" s="7">
        <v>45981.27921653935</v>
      </c>
      <c r="B22" s="8" t="s">
        <v>18</v>
      </c>
      <c r="C22" s="9">
        <v>45979.0</v>
      </c>
      <c r="D22" s="8" t="s">
        <v>23</v>
      </c>
      <c r="F22" s="8" t="s">
        <v>21</v>
      </c>
      <c r="G22" s="8" t="s">
        <v>22</v>
      </c>
      <c r="H22" s="8">
        <v>5.0</v>
      </c>
      <c r="I22" s="8">
        <v>5.0</v>
      </c>
      <c r="J22" s="8">
        <v>5.0</v>
      </c>
      <c r="K22" s="8">
        <v>5.0</v>
      </c>
      <c r="L22" s="8">
        <v>3.0</v>
      </c>
      <c r="M22" s="8">
        <v>5.0</v>
      </c>
      <c r="N22" s="8">
        <v>5.0</v>
      </c>
      <c r="O22" s="8">
        <v>5.0</v>
      </c>
      <c r="P22" s="8">
        <v>10.0</v>
      </c>
    </row>
    <row r="23" ht="22.5" customHeight="1">
      <c r="A23" s="7">
        <v>45981.28244800926</v>
      </c>
      <c r="B23" s="8" t="s">
        <v>18</v>
      </c>
      <c r="C23" s="9">
        <v>45968.0</v>
      </c>
      <c r="D23" s="8" t="s">
        <v>23</v>
      </c>
      <c r="F23" s="8" t="s">
        <v>21</v>
      </c>
      <c r="G23" s="8" t="s">
        <v>47</v>
      </c>
      <c r="H23" s="8">
        <v>5.0</v>
      </c>
      <c r="I23" s="8">
        <v>5.0</v>
      </c>
      <c r="J23" s="8">
        <v>5.0</v>
      </c>
      <c r="K23" s="8">
        <v>5.0</v>
      </c>
      <c r="L23" s="8">
        <v>5.0</v>
      </c>
      <c r="M23" s="8">
        <v>5.0</v>
      </c>
      <c r="N23" s="8">
        <v>5.0</v>
      </c>
      <c r="O23" s="8">
        <v>5.0</v>
      </c>
      <c r="P23" s="8">
        <v>10.0</v>
      </c>
    </row>
    <row r="24" ht="22.5" customHeight="1">
      <c r="A24" s="7">
        <v>45981.37648746528</v>
      </c>
      <c r="B24" s="8" t="s">
        <v>18</v>
      </c>
      <c r="C24" s="9">
        <v>45980.0</v>
      </c>
      <c r="D24" s="8" t="s">
        <v>23</v>
      </c>
      <c r="E24" s="8" t="s">
        <v>48</v>
      </c>
      <c r="F24" s="8" t="s">
        <v>21</v>
      </c>
      <c r="G24" s="8" t="s">
        <v>22</v>
      </c>
      <c r="H24" s="8">
        <v>5.0</v>
      </c>
      <c r="I24" s="8">
        <v>5.0</v>
      </c>
      <c r="J24" s="8">
        <v>5.0</v>
      </c>
      <c r="K24" s="8">
        <v>5.0</v>
      </c>
      <c r="L24" s="8">
        <v>5.0</v>
      </c>
      <c r="M24" s="8">
        <v>5.0</v>
      </c>
      <c r="N24" s="8">
        <v>5.0</v>
      </c>
      <c r="O24" s="8">
        <v>5.0</v>
      </c>
      <c r="P24" s="8">
        <v>10.0</v>
      </c>
    </row>
    <row r="25" ht="22.5" customHeight="1">
      <c r="A25" s="7">
        <v>45984.804218969904</v>
      </c>
      <c r="B25" s="8" t="s">
        <v>18</v>
      </c>
      <c r="C25" s="9">
        <v>45979.0</v>
      </c>
      <c r="D25" s="8" t="s">
        <v>23</v>
      </c>
      <c r="F25" s="8" t="s">
        <v>21</v>
      </c>
      <c r="G25" s="8" t="s">
        <v>22</v>
      </c>
      <c r="H25" s="8">
        <v>5.0</v>
      </c>
      <c r="I25" s="8">
        <v>5.0</v>
      </c>
      <c r="J25" s="8">
        <v>5.0</v>
      </c>
      <c r="K25" s="8">
        <v>5.0</v>
      </c>
      <c r="L25" s="8">
        <v>3.0</v>
      </c>
      <c r="M25" s="8">
        <v>5.0</v>
      </c>
      <c r="N25" s="8">
        <v>5.0</v>
      </c>
      <c r="O25" s="8">
        <v>5.0</v>
      </c>
      <c r="P25" s="8">
        <v>10.0</v>
      </c>
    </row>
    <row r="26" ht="22.5" customHeight="1">
      <c r="A26" s="7">
        <v>45985.79958175926</v>
      </c>
      <c r="B26" s="8" t="s">
        <v>18</v>
      </c>
      <c r="C26" s="9">
        <v>45985.0</v>
      </c>
      <c r="D26" s="8" t="s">
        <v>23</v>
      </c>
      <c r="E26" s="8" t="s">
        <v>28</v>
      </c>
      <c r="F26" s="8" t="s">
        <v>29</v>
      </c>
      <c r="G26" s="8" t="s">
        <v>22</v>
      </c>
      <c r="H26" s="8">
        <v>5.0</v>
      </c>
      <c r="I26" s="8">
        <v>5.0</v>
      </c>
      <c r="J26" s="8">
        <v>5.0</v>
      </c>
      <c r="K26" s="8">
        <v>5.0</v>
      </c>
      <c r="L26" s="8">
        <v>3.0</v>
      </c>
      <c r="M26" s="8">
        <v>5.0</v>
      </c>
      <c r="N26" s="8">
        <v>5.0</v>
      </c>
      <c r="O26" s="8">
        <v>5.0</v>
      </c>
      <c r="P26" s="8">
        <v>9.0</v>
      </c>
    </row>
    <row r="27" ht="22.5" customHeight="1">
      <c r="A27" s="7">
        <v>45993.88571094908</v>
      </c>
      <c r="B27" s="8" t="s">
        <v>18</v>
      </c>
      <c r="C27" s="9">
        <v>45993.0</v>
      </c>
      <c r="D27" s="8" t="s">
        <v>23</v>
      </c>
      <c r="F27" s="8" t="s">
        <v>29</v>
      </c>
      <c r="G27" s="8" t="s">
        <v>22</v>
      </c>
      <c r="H27" s="8">
        <v>5.0</v>
      </c>
      <c r="I27" s="8">
        <v>5.0</v>
      </c>
      <c r="J27" s="8">
        <v>5.0</v>
      </c>
      <c r="K27" s="8">
        <v>5.0</v>
      </c>
      <c r="L27" s="8">
        <v>4.0</v>
      </c>
      <c r="M27" s="8">
        <v>5.0</v>
      </c>
      <c r="N27" s="8">
        <v>5.0</v>
      </c>
      <c r="O27" s="8">
        <v>5.0</v>
      </c>
      <c r="P27" s="8">
        <v>10.0</v>
      </c>
    </row>
    <row r="28" ht="22.5" customHeight="1">
      <c r="A28" s="7">
        <v>45994.85121270834</v>
      </c>
      <c r="B28" s="8" t="s">
        <v>18</v>
      </c>
      <c r="C28" s="9">
        <v>45993.0</v>
      </c>
      <c r="D28" s="8" t="s">
        <v>23</v>
      </c>
      <c r="E28" s="8" t="s">
        <v>28</v>
      </c>
      <c r="F28" s="8" t="s">
        <v>29</v>
      </c>
      <c r="G28" s="8" t="s">
        <v>22</v>
      </c>
      <c r="H28" s="8">
        <v>5.0</v>
      </c>
      <c r="I28" s="8">
        <v>5.0</v>
      </c>
      <c r="J28" s="8">
        <v>5.0</v>
      </c>
      <c r="K28" s="8">
        <v>5.0</v>
      </c>
      <c r="L28" s="8">
        <v>5.0</v>
      </c>
      <c r="M28" s="8">
        <v>5.0</v>
      </c>
      <c r="N28" s="8">
        <v>5.0</v>
      </c>
      <c r="O28" s="8">
        <v>5.0</v>
      </c>
      <c r="P28" s="8">
        <v>10.0</v>
      </c>
      <c r="Q28" s="8" t="s">
        <v>35</v>
      </c>
      <c r="R28" s="8" t="s">
        <v>49</v>
      </c>
    </row>
    <row r="29" ht="22.5" customHeight="1">
      <c r="A29" s="7">
        <v>45995.705769328706</v>
      </c>
      <c r="B29" s="8" t="s">
        <v>18</v>
      </c>
      <c r="C29" s="9">
        <v>45992.0</v>
      </c>
      <c r="D29" s="8" t="s">
        <v>23</v>
      </c>
      <c r="E29" s="8" t="s">
        <v>50</v>
      </c>
      <c r="F29" s="8" t="s">
        <v>21</v>
      </c>
      <c r="G29" s="8" t="s">
        <v>22</v>
      </c>
      <c r="H29" s="8">
        <v>5.0</v>
      </c>
      <c r="I29" s="8">
        <v>5.0</v>
      </c>
      <c r="J29" s="8">
        <v>5.0</v>
      </c>
      <c r="K29" s="8">
        <v>5.0</v>
      </c>
      <c r="L29" s="8">
        <v>4.0</v>
      </c>
      <c r="M29" s="8">
        <v>5.0</v>
      </c>
      <c r="N29" s="8">
        <v>5.0</v>
      </c>
      <c r="O29" s="8">
        <v>5.0</v>
      </c>
      <c r="P29" s="8">
        <v>10.0</v>
      </c>
    </row>
    <row r="30" ht="22.5" customHeight="1">
      <c r="A30" s="7">
        <v>45996.69357386574</v>
      </c>
      <c r="B30" s="8" t="s">
        <v>18</v>
      </c>
      <c r="C30" s="9">
        <v>45996.0</v>
      </c>
      <c r="D30" s="8" t="s">
        <v>23</v>
      </c>
      <c r="E30" s="8" t="s">
        <v>51</v>
      </c>
      <c r="F30" s="8" t="s">
        <v>29</v>
      </c>
      <c r="G30" s="8" t="s">
        <v>22</v>
      </c>
      <c r="H30" s="8">
        <v>5.0</v>
      </c>
      <c r="I30" s="8">
        <v>5.0</v>
      </c>
      <c r="J30" s="8">
        <v>5.0</v>
      </c>
      <c r="K30" s="8">
        <v>5.0</v>
      </c>
      <c r="L30" s="8">
        <v>5.0</v>
      </c>
      <c r="M30" s="8">
        <v>5.0</v>
      </c>
      <c r="N30" s="8">
        <v>5.0</v>
      </c>
      <c r="O30" s="8">
        <v>5.0</v>
      </c>
      <c r="P30" s="8">
        <v>10.0</v>
      </c>
    </row>
    <row r="31" ht="22.5" customHeight="1">
      <c r="A31" s="7">
        <v>45997.4808997338</v>
      </c>
      <c r="B31" s="8" t="s">
        <v>18</v>
      </c>
      <c r="C31" s="9">
        <v>45997.0</v>
      </c>
      <c r="D31" s="8" t="s">
        <v>19</v>
      </c>
      <c r="E31" s="8" t="s">
        <v>52</v>
      </c>
      <c r="F31" s="8" t="s">
        <v>29</v>
      </c>
      <c r="G31" s="8" t="s">
        <v>53</v>
      </c>
      <c r="H31" s="8">
        <v>3.0</v>
      </c>
      <c r="I31" s="8">
        <v>5.0</v>
      </c>
      <c r="J31" s="8">
        <v>5.0</v>
      </c>
      <c r="K31" s="8">
        <v>5.0</v>
      </c>
      <c r="L31" s="8">
        <v>5.0</v>
      </c>
      <c r="M31" s="8">
        <v>5.0</v>
      </c>
      <c r="N31" s="8">
        <v>5.0</v>
      </c>
      <c r="O31" s="8">
        <v>5.0</v>
      </c>
      <c r="P31" s="8">
        <v>9.0</v>
      </c>
    </row>
    <row r="32" ht="22.5" customHeight="1">
      <c r="A32" s="7">
        <v>45997.51818804398</v>
      </c>
      <c r="B32" s="8" t="s">
        <v>18</v>
      </c>
      <c r="C32" s="9" t="s">
        <v>54</v>
      </c>
      <c r="D32" s="8" t="s">
        <v>19</v>
      </c>
      <c r="E32" s="8" t="s">
        <v>55</v>
      </c>
      <c r="F32" s="8" t="s">
        <v>21</v>
      </c>
      <c r="G32" s="8" t="s">
        <v>53</v>
      </c>
      <c r="I32" s="8">
        <v>5.0</v>
      </c>
      <c r="K32" s="8">
        <v>5.0</v>
      </c>
      <c r="M32" s="8">
        <v>5.0</v>
      </c>
      <c r="N32" s="8">
        <v>5.0</v>
      </c>
      <c r="O32" s="8">
        <v>5.0</v>
      </c>
      <c r="P32" s="8">
        <v>10.0</v>
      </c>
    </row>
    <row r="33" ht="22.5" customHeight="1">
      <c r="A33" s="7">
        <v>46000.44270034722</v>
      </c>
      <c r="B33" s="8" t="s">
        <v>18</v>
      </c>
      <c r="C33" s="9">
        <v>46000.0</v>
      </c>
      <c r="D33" s="8" t="s">
        <v>23</v>
      </c>
      <c r="E33" s="8" t="s">
        <v>56</v>
      </c>
      <c r="F33" s="8" t="s">
        <v>29</v>
      </c>
      <c r="G33" s="8" t="s">
        <v>22</v>
      </c>
      <c r="H33" s="8">
        <v>5.0</v>
      </c>
      <c r="I33" s="8">
        <v>5.0</v>
      </c>
      <c r="J33" s="8">
        <v>5.0</v>
      </c>
      <c r="K33" s="8">
        <v>5.0</v>
      </c>
      <c r="L33" s="8">
        <v>5.0</v>
      </c>
      <c r="M33" s="8">
        <v>5.0</v>
      </c>
      <c r="N33" s="8">
        <v>5.0</v>
      </c>
      <c r="O33" s="8">
        <v>5.0</v>
      </c>
      <c r="P33" s="8">
        <v>10.0</v>
      </c>
      <c r="Q33" s="8" t="s">
        <v>57</v>
      </c>
      <c r="R33" s="8" t="s">
        <v>58</v>
      </c>
    </row>
    <row r="34" ht="22.5" customHeight="1">
      <c r="A34" s="7">
        <v>46000.47061175926</v>
      </c>
      <c r="B34" s="8" t="s">
        <v>18</v>
      </c>
      <c r="C34" s="9">
        <v>46000.0</v>
      </c>
      <c r="D34" s="8" t="s">
        <v>19</v>
      </c>
      <c r="E34" s="8" t="s">
        <v>59</v>
      </c>
      <c r="F34" s="8" t="s">
        <v>21</v>
      </c>
      <c r="G34" s="8" t="s">
        <v>53</v>
      </c>
      <c r="H34" s="8">
        <v>5.0</v>
      </c>
      <c r="I34" s="8">
        <v>5.0</v>
      </c>
      <c r="J34" s="8">
        <v>5.0</v>
      </c>
      <c r="K34" s="8">
        <v>5.0</v>
      </c>
      <c r="L34" s="8">
        <v>5.0</v>
      </c>
      <c r="M34" s="8">
        <v>5.0</v>
      </c>
      <c r="N34" s="8">
        <v>5.0</v>
      </c>
      <c r="O34" s="8">
        <v>5.0</v>
      </c>
      <c r="P34" s="8">
        <v>10.0</v>
      </c>
    </row>
    <row r="35" ht="22.5" customHeight="1">
      <c r="A35" s="7">
        <v>46002.67666175926</v>
      </c>
      <c r="B35" s="8" t="s">
        <v>18</v>
      </c>
      <c r="C35" s="9">
        <v>46002.0</v>
      </c>
      <c r="D35" s="8" t="s">
        <v>23</v>
      </c>
      <c r="F35" s="8" t="s">
        <v>21</v>
      </c>
      <c r="G35" s="8" t="s">
        <v>22</v>
      </c>
      <c r="H35" s="8">
        <v>5.0</v>
      </c>
      <c r="I35" s="8">
        <v>5.0</v>
      </c>
      <c r="J35" s="8">
        <v>5.0</v>
      </c>
      <c r="K35" s="8">
        <v>5.0</v>
      </c>
      <c r="L35" s="8">
        <v>5.0</v>
      </c>
      <c r="M35" s="8">
        <v>5.0</v>
      </c>
      <c r="N35" s="8">
        <v>5.0</v>
      </c>
      <c r="O35" s="8">
        <v>5.0</v>
      </c>
      <c r="P35" s="8">
        <v>10.0</v>
      </c>
      <c r="Q35" s="8" t="s">
        <v>60</v>
      </c>
    </row>
    <row r="36" ht="22.5" customHeight="1">
      <c r="A36" s="7">
        <v>46007.432946597226</v>
      </c>
      <c r="B36" s="8" t="s">
        <v>18</v>
      </c>
      <c r="C36" s="9">
        <v>29934.0</v>
      </c>
      <c r="D36" s="8" t="s">
        <v>23</v>
      </c>
      <c r="E36" s="8" t="s">
        <v>28</v>
      </c>
      <c r="F36" s="8" t="s">
        <v>21</v>
      </c>
      <c r="G36" s="8" t="s">
        <v>22</v>
      </c>
      <c r="H36" s="8">
        <v>5.0</v>
      </c>
      <c r="I36" s="8">
        <v>5.0</v>
      </c>
      <c r="J36" s="8">
        <v>5.0</v>
      </c>
      <c r="K36" s="8">
        <v>5.0</v>
      </c>
      <c r="L36" s="8">
        <v>5.0</v>
      </c>
      <c r="N36" s="8">
        <v>5.0</v>
      </c>
      <c r="O36" s="8">
        <v>5.0</v>
      </c>
      <c r="P36" s="8">
        <v>10.0</v>
      </c>
      <c r="Q36" s="8" t="s">
        <v>61</v>
      </c>
      <c r="R36" s="8" t="s">
        <v>35</v>
      </c>
    </row>
    <row r="37" ht="22.5" customHeight="1">
      <c r="A37" s="7">
        <v>46007.46768290509</v>
      </c>
      <c r="B37" s="8" t="s">
        <v>18</v>
      </c>
      <c r="C37" s="9">
        <v>46007.0</v>
      </c>
      <c r="D37" s="8" t="s">
        <v>23</v>
      </c>
      <c r="F37" s="8" t="s">
        <v>21</v>
      </c>
      <c r="G37" s="8" t="s">
        <v>22</v>
      </c>
      <c r="H37" s="8">
        <v>5.0</v>
      </c>
      <c r="I37" s="8">
        <v>5.0</v>
      </c>
      <c r="J37" s="8">
        <v>5.0</v>
      </c>
      <c r="K37" s="8">
        <v>5.0</v>
      </c>
      <c r="L37" s="8">
        <v>5.0</v>
      </c>
      <c r="M37" s="8">
        <v>5.0</v>
      </c>
      <c r="N37" s="8">
        <v>5.0</v>
      </c>
      <c r="O37" s="8">
        <v>5.0</v>
      </c>
      <c r="P37" s="8">
        <v>10.0</v>
      </c>
    </row>
    <row r="38" ht="22.5" customHeight="1">
      <c r="A38" s="7">
        <v>46007.533921423616</v>
      </c>
      <c r="B38" s="8" t="s">
        <v>18</v>
      </c>
      <c r="C38" s="9">
        <v>46007.0</v>
      </c>
      <c r="D38" s="8" t="s">
        <v>23</v>
      </c>
      <c r="E38" s="8" t="s">
        <v>62</v>
      </c>
      <c r="F38" s="8" t="s">
        <v>29</v>
      </c>
      <c r="G38" s="8" t="s">
        <v>22</v>
      </c>
      <c r="H38" s="8">
        <v>5.0</v>
      </c>
      <c r="I38" s="8">
        <v>5.0</v>
      </c>
      <c r="J38" s="8">
        <v>5.0</v>
      </c>
      <c r="K38" s="8">
        <v>5.0</v>
      </c>
      <c r="L38" s="8">
        <v>5.0</v>
      </c>
      <c r="M38" s="8">
        <v>5.0</v>
      </c>
      <c r="N38" s="8">
        <v>5.0</v>
      </c>
      <c r="O38" s="8">
        <v>5.0</v>
      </c>
      <c r="P38" s="8">
        <v>10.0</v>
      </c>
      <c r="Q38" s="8" t="s">
        <v>35</v>
      </c>
      <c r="R38" s="8" t="s">
        <v>35</v>
      </c>
    </row>
    <row r="39" ht="22.5" customHeight="1">
      <c r="A39" s="7">
        <v>46027.457914004626</v>
      </c>
      <c r="B39" s="8" t="s">
        <v>18</v>
      </c>
      <c r="C39" s="9">
        <v>46027.0</v>
      </c>
      <c r="D39" s="8" t="s">
        <v>23</v>
      </c>
      <c r="E39" s="8" t="s">
        <v>63</v>
      </c>
      <c r="F39" s="8" t="s">
        <v>29</v>
      </c>
      <c r="G39" s="8" t="s">
        <v>22</v>
      </c>
      <c r="H39" s="8">
        <v>5.0</v>
      </c>
      <c r="I39" s="8">
        <v>5.0</v>
      </c>
      <c r="J39" s="8">
        <v>5.0</v>
      </c>
      <c r="K39" s="8">
        <v>5.0</v>
      </c>
      <c r="L39" s="8">
        <v>3.0</v>
      </c>
      <c r="M39" s="8">
        <v>5.0</v>
      </c>
      <c r="N39" s="8">
        <v>5.0</v>
      </c>
      <c r="O39" s="8">
        <v>5.0</v>
      </c>
      <c r="P39" s="8">
        <v>10.0</v>
      </c>
      <c r="Q39" s="8" t="s">
        <v>64</v>
      </c>
      <c r="R39" s="8" t="s">
        <v>65</v>
      </c>
    </row>
    <row r="40" ht="22.5" customHeight="1">
      <c r="A40" s="7">
        <v>46030.58109420139</v>
      </c>
      <c r="B40" s="8" t="s">
        <v>18</v>
      </c>
      <c r="C40" s="9">
        <v>45992.0</v>
      </c>
      <c r="D40" s="8" t="s">
        <v>23</v>
      </c>
      <c r="E40" s="8" t="s">
        <v>66</v>
      </c>
      <c r="F40" s="8" t="s">
        <v>21</v>
      </c>
      <c r="G40" s="8" t="s">
        <v>22</v>
      </c>
      <c r="H40" s="8">
        <v>5.0</v>
      </c>
      <c r="I40" s="8">
        <v>5.0</v>
      </c>
      <c r="J40" s="8">
        <v>5.0</v>
      </c>
      <c r="K40" s="8">
        <v>5.0</v>
      </c>
      <c r="L40" s="8">
        <v>5.0</v>
      </c>
      <c r="M40" s="8">
        <v>5.0</v>
      </c>
      <c r="N40" s="8">
        <v>5.0</v>
      </c>
      <c r="O40" s="8">
        <v>5.0</v>
      </c>
      <c r="P40" s="8">
        <v>10.0</v>
      </c>
      <c r="Q40" s="8" t="s">
        <v>67</v>
      </c>
      <c r="R40" s="8" t="s">
        <v>68</v>
      </c>
    </row>
    <row r="41" ht="22.5" customHeight="1">
      <c r="A41" s="7">
        <v>46034.48627460648</v>
      </c>
      <c r="B41" s="8" t="s">
        <v>18</v>
      </c>
      <c r="C41" s="9">
        <v>46034.0</v>
      </c>
      <c r="D41" s="8" t="s">
        <v>23</v>
      </c>
      <c r="E41" s="8" t="s">
        <v>28</v>
      </c>
      <c r="F41" s="8" t="s">
        <v>21</v>
      </c>
      <c r="G41" s="8" t="s">
        <v>22</v>
      </c>
      <c r="H41" s="8">
        <v>5.0</v>
      </c>
      <c r="I41" s="8">
        <v>5.0</v>
      </c>
      <c r="J41" s="8">
        <v>5.0</v>
      </c>
      <c r="K41" s="8">
        <v>4.0</v>
      </c>
      <c r="L41" s="8">
        <v>4.0</v>
      </c>
      <c r="M41" s="8">
        <v>5.0</v>
      </c>
      <c r="N41" s="8">
        <v>5.0</v>
      </c>
      <c r="O41" s="8">
        <v>5.0</v>
      </c>
      <c r="P41" s="8">
        <v>10.0</v>
      </c>
      <c r="Q41" s="8" t="s">
        <v>61</v>
      </c>
    </row>
    <row r="42" ht="22.5" customHeight="1">
      <c r="A42" s="7">
        <v>46035.58176380787</v>
      </c>
      <c r="B42" s="8" t="s">
        <v>18</v>
      </c>
      <c r="C42" s="9">
        <v>46035.0</v>
      </c>
      <c r="D42" s="8" t="s">
        <v>69</v>
      </c>
      <c r="E42" s="8" t="s">
        <v>70</v>
      </c>
      <c r="F42" s="8" t="s">
        <v>29</v>
      </c>
      <c r="G42" s="8" t="s">
        <v>22</v>
      </c>
      <c r="H42" s="8">
        <v>5.0</v>
      </c>
      <c r="I42" s="8">
        <v>5.0</v>
      </c>
      <c r="J42" s="8">
        <v>5.0</v>
      </c>
      <c r="K42" s="8">
        <v>5.0</v>
      </c>
      <c r="L42" s="8">
        <v>5.0</v>
      </c>
      <c r="M42" s="8">
        <v>5.0</v>
      </c>
      <c r="N42" s="8">
        <v>5.0</v>
      </c>
      <c r="O42" s="8">
        <v>5.0</v>
      </c>
      <c r="P42" s="8">
        <v>10.0</v>
      </c>
      <c r="Q42" s="8" t="s">
        <v>71</v>
      </c>
      <c r="R42" s="8" t="s">
        <v>43</v>
      </c>
    </row>
    <row r="43" ht="22.5" customHeight="1">
      <c r="A43" s="7">
        <v>46035.61043241898</v>
      </c>
      <c r="B43" s="8" t="s">
        <v>18</v>
      </c>
      <c r="C43" s="9">
        <v>46034.0</v>
      </c>
      <c r="D43" s="8" t="s">
        <v>23</v>
      </c>
      <c r="E43" s="8" t="s">
        <v>62</v>
      </c>
      <c r="F43" s="8" t="s">
        <v>21</v>
      </c>
      <c r="G43" s="8" t="s">
        <v>22</v>
      </c>
      <c r="H43" s="8">
        <v>5.0</v>
      </c>
      <c r="I43" s="8">
        <v>5.0</v>
      </c>
      <c r="J43" s="8">
        <v>5.0</v>
      </c>
      <c r="K43" s="8">
        <v>5.0</v>
      </c>
      <c r="L43" s="8">
        <v>3.0</v>
      </c>
      <c r="M43" s="8">
        <v>5.0</v>
      </c>
      <c r="N43" s="8">
        <v>5.0</v>
      </c>
      <c r="O43" s="8">
        <v>5.0</v>
      </c>
      <c r="P43" s="8">
        <v>10.0</v>
      </c>
      <c r="Q43" s="8" t="s">
        <v>42</v>
      </c>
    </row>
    <row r="44" ht="22.5" customHeight="1">
      <c r="A44" s="7">
        <v>46042.557583738424</v>
      </c>
      <c r="B44" s="8" t="s">
        <v>18</v>
      </c>
      <c r="C44" s="9">
        <v>46042.0</v>
      </c>
      <c r="D44" s="8" t="s">
        <v>23</v>
      </c>
      <c r="F44" s="8" t="s">
        <v>21</v>
      </c>
      <c r="G44" s="8" t="s">
        <v>22</v>
      </c>
      <c r="H44" s="8">
        <v>1.0</v>
      </c>
      <c r="I44" s="8">
        <v>1.0</v>
      </c>
      <c r="J44" s="8">
        <v>1.0</v>
      </c>
      <c r="K44" s="8">
        <v>1.0</v>
      </c>
      <c r="L44" s="8">
        <v>1.0</v>
      </c>
      <c r="M44" s="8">
        <v>1.0</v>
      </c>
      <c r="N44" s="8">
        <v>1.0</v>
      </c>
      <c r="O44" s="8">
        <v>1.0</v>
      </c>
      <c r="P44" s="8">
        <v>10.0</v>
      </c>
    </row>
    <row r="45" ht="22.5" customHeight="1">
      <c r="A45" s="7">
        <v>46042.679686261574</v>
      </c>
      <c r="B45" s="8" t="s">
        <v>18</v>
      </c>
      <c r="C45" s="9">
        <v>46042.0</v>
      </c>
      <c r="D45" s="8" t="s">
        <v>23</v>
      </c>
      <c r="F45" s="8" t="s">
        <v>29</v>
      </c>
      <c r="G45" s="8" t="s">
        <v>22</v>
      </c>
      <c r="H45" s="8">
        <v>4.0</v>
      </c>
      <c r="I45" s="8">
        <v>5.0</v>
      </c>
      <c r="J45" s="8">
        <v>3.0</v>
      </c>
      <c r="K45" s="8">
        <v>4.0</v>
      </c>
      <c r="L45" s="8">
        <v>4.0</v>
      </c>
      <c r="M45" s="8">
        <v>4.0</v>
      </c>
      <c r="N45" s="8">
        <v>5.0</v>
      </c>
      <c r="O45" s="8">
        <v>5.0</v>
      </c>
      <c r="P45" s="8">
        <v>8.0</v>
      </c>
    </row>
    <row r="46" ht="22.5" customHeight="1">
      <c r="A46" s="7">
        <v>46042.70997239584</v>
      </c>
      <c r="B46" s="8" t="s">
        <v>18</v>
      </c>
      <c r="C46" s="9">
        <v>46042.0</v>
      </c>
      <c r="D46" s="8" t="s">
        <v>23</v>
      </c>
      <c r="F46" s="8" t="s">
        <v>29</v>
      </c>
      <c r="G46" s="8" t="s">
        <v>22</v>
      </c>
      <c r="H46" s="8">
        <v>5.0</v>
      </c>
      <c r="I46" s="8">
        <v>5.0</v>
      </c>
      <c r="J46" s="8">
        <v>5.0</v>
      </c>
      <c r="K46" s="8">
        <v>5.0</v>
      </c>
      <c r="L46" s="8">
        <v>5.0</v>
      </c>
      <c r="M46" s="8">
        <v>5.0</v>
      </c>
      <c r="N46" s="8">
        <v>5.0</v>
      </c>
      <c r="O46" s="8">
        <v>5.0</v>
      </c>
      <c r="P46" s="8">
        <v>10.0</v>
      </c>
    </row>
    <row r="47" ht="22.5" customHeight="1">
      <c r="A47" s="7">
        <v>46043.424519849534</v>
      </c>
      <c r="B47" s="8" t="s">
        <v>18</v>
      </c>
      <c r="C47" s="9">
        <v>46043.0</v>
      </c>
      <c r="D47" s="8" t="s">
        <v>69</v>
      </c>
      <c r="E47" s="8" t="s">
        <v>28</v>
      </c>
      <c r="F47" s="8" t="s">
        <v>21</v>
      </c>
      <c r="G47" s="8" t="s">
        <v>22</v>
      </c>
      <c r="H47" s="8">
        <v>5.0</v>
      </c>
      <c r="I47" s="8">
        <v>5.0</v>
      </c>
      <c r="J47" s="8">
        <v>5.0</v>
      </c>
      <c r="K47" s="8">
        <v>5.0</v>
      </c>
      <c r="L47" s="8">
        <v>5.0</v>
      </c>
      <c r="M47" s="8">
        <v>5.0</v>
      </c>
      <c r="N47" s="8">
        <v>5.0</v>
      </c>
      <c r="O47" s="8">
        <v>5.0</v>
      </c>
      <c r="P47" s="8">
        <v>10.0</v>
      </c>
      <c r="Q47" s="8" t="s">
        <v>72</v>
      </c>
      <c r="R47" s="8" t="s">
        <v>65</v>
      </c>
    </row>
    <row r="48" ht="22.5" customHeight="1">
      <c r="A48" s="7">
        <v>46053.61962486111</v>
      </c>
      <c r="B48" s="8" t="s">
        <v>18</v>
      </c>
      <c r="C48" s="9">
        <v>46082.0</v>
      </c>
      <c r="D48" s="8" t="s">
        <v>23</v>
      </c>
      <c r="E48" s="8" t="s">
        <v>62</v>
      </c>
      <c r="F48" s="8" t="s">
        <v>29</v>
      </c>
      <c r="G48" s="8" t="s">
        <v>22</v>
      </c>
      <c r="H48" s="8">
        <v>5.0</v>
      </c>
      <c r="I48" s="8">
        <v>5.0</v>
      </c>
      <c r="J48" s="8">
        <v>5.0</v>
      </c>
      <c r="K48" s="8">
        <v>5.0</v>
      </c>
      <c r="L48" s="8">
        <v>5.0</v>
      </c>
      <c r="M48" s="8">
        <v>5.0</v>
      </c>
      <c r="N48" s="8">
        <v>5.0</v>
      </c>
      <c r="O48" s="8">
        <v>5.0</v>
      </c>
      <c r="P48" s="8">
        <v>10.0</v>
      </c>
      <c r="Q48" s="8" t="s">
        <v>73</v>
      </c>
      <c r="R48" s="8" t="s">
        <v>65</v>
      </c>
    </row>
    <row r="49" ht="22.5" customHeight="1">
      <c r="A49" s="7">
        <v>46068.45986594907</v>
      </c>
      <c r="B49" s="8" t="s">
        <v>18</v>
      </c>
      <c r="C49" s="9">
        <v>46058.0</v>
      </c>
      <c r="D49" s="8" t="s">
        <v>23</v>
      </c>
      <c r="E49" s="8" t="s">
        <v>74</v>
      </c>
      <c r="F49" s="8" t="s">
        <v>21</v>
      </c>
      <c r="G49" s="8" t="s">
        <v>22</v>
      </c>
      <c r="H49" s="8">
        <v>5.0</v>
      </c>
      <c r="I49" s="8">
        <v>5.0</v>
      </c>
      <c r="J49" s="8">
        <v>5.0</v>
      </c>
      <c r="K49" s="8">
        <v>5.0</v>
      </c>
      <c r="L49" s="8">
        <v>5.0</v>
      </c>
      <c r="M49" s="8">
        <v>5.0</v>
      </c>
      <c r="N49" s="8">
        <v>5.0</v>
      </c>
      <c r="O49" s="8">
        <v>5.0</v>
      </c>
      <c r="P49" s="8">
        <v>10.0</v>
      </c>
      <c r="Q49" s="8" t="s">
        <v>75</v>
      </c>
      <c r="R49" s="8" t="s">
        <v>35</v>
      </c>
    </row>
    <row r="50" ht="22.5" customHeight="1">
      <c r="A50" s="7">
        <v>46076.39870787037</v>
      </c>
      <c r="B50" s="8" t="s">
        <v>18</v>
      </c>
      <c r="C50" s="9">
        <v>46069.0</v>
      </c>
      <c r="D50" s="8" t="s">
        <v>19</v>
      </c>
      <c r="E50" s="8" t="s">
        <v>76</v>
      </c>
      <c r="F50" s="8" t="s">
        <v>21</v>
      </c>
      <c r="G50" s="8" t="s">
        <v>53</v>
      </c>
      <c r="H50" s="8">
        <v>5.0</v>
      </c>
      <c r="I50" s="8">
        <v>5.0</v>
      </c>
      <c r="J50" s="8">
        <v>5.0</v>
      </c>
      <c r="K50" s="8">
        <v>5.0</v>
      </c>
      <c r="M50" s="8">
        <v>5.0</v>
      </c>
      <c r="N50" s="8">
        <v>5.0</v>
      </c>
      <c r="O50" s="8">
        <v>5.0</v>
      </c>
      <c r="P50" s="8">
        <v>10.0</v>
      </c>
    </row>
    <row r="51" ht="22.5" customHeight="1">
      <c r="A51" s="7">
        <v>46076.65024916666</v>
      </c>
      <c r="B51" s="8" t="s">
        <v>18</v>
      </c>
      <c r="C51" s="9">
        <v>46076.0</v>
      </c>
      <c r="D51" s="8" t="s">
        <v>19</v>
      </c>
      <c r="E51" s="8" t="s">
        <v>77</v>
      </c>
      <c r="F51" s="8" t="s">
        <v>21</v>
      </c>
      <c r="G51" s="8" t="s">
        <v>53</v>
      </c>
      <c r="H51" s="8">
        <v>5.0</v>
      </c>
      <c r="I51" s="8">
        <v>5.0</v>
      </c>
      <c r="J51" s="8">
        <v>5.0</v>
      </c>
      <c r="K51" s="8">
        <v>5.0</v>
      </c>
      <c r="L51" s="8">
        <v>5.0</v>
      </c>
      <c r="M51" s="8">
        <v>5.0</v>
      </c>
      <c r="N51" s="8">
        <v>5.0</v>
      </c>
      <c r="O51" s="8">
        <v>5.0</v>
      </c>
      <c r="P51" s="8">
        <v>10.0</v>
      </c>
      <c r="Q51" s="8" t="s">
        <v>78</v>
      </c>
    </row>
    <row r="52" ht="22.5" customHeight="1">
      <c r="A52" s="7">
        <v>46076.94546513889</v>
      </c>
      <c r="B52" s="8" t="s">
        <v>18</v>
      </c>
      <c r="C52" s="9">
        <v>46076.0</v>
      </c>
      <c r="D52" s="8" t="s">
        <v>23</v>
      </c>
      <c r="F52" s="8" t="s">
        <v>29</v>
      </c>
      <c r="G52" s="8" t="s">
        <v>79</v>
      </c>
      <c r="H52" s="8">
        <v>5.0</v>
      </c>
      <c r="I52" s="8">
        <v>5.0</v>
      </c>
      <c r="J52" s="8">
        <v>5.0</v>
      </c>
      <c r="K52" s="8">
        <v>5.0</v>
      </c>
      <c r="L52" s="8">
        <v>4.0</v>
      </c>
      <c r="M52" s="8">
        <v>5.0</v>
      </c>
      <c r="N52" s="8">
        <v>5.0</v>
      </c>
      <c r="O52" s="8">
        <v>5.0</v>
      </c>
      <c r="P52" s="8">
        <v>7.0</v>
      </c>
    </row>
    <row r="53" ht="22.5" customHeight="1">
      <c r="A53" s="7">
        <v>46077.4132790625</v>
      </c>
      <c r="B53" s="8" t="s">
        <v>18</v>
      </c>
      <c r="C53" s="9">
        <v>46077.0</v>
      </c>
      <c r="D53" s="8" t="s">
        <v>23</v>
      </c>
      <c r="E53" s="8" t="s">
        <v>80</v>
      </c>
      <c r="F53" s="8" t="s">
        <v>21</v>
      </c>
      <c r="G53" s="8" t="s">
        <v>81</v>
      </c>
      <c r="H53" s="8">
        <v>5.0</v>
      </c>
      <c r="I53" s="8">
        <v>5.0</v>
      </c>
      <c r="K53" s="8">
        <v>5.0</v>
      </c>
      <c r="M53" s="8">
        <v>5.0</v>
      </c>
      <c r="N53" s="8">
        <v>5.0</v>
      </c>
      <c r="O53" s="8">
        <v>5.0</v>
      </c>
      <c r="P53" s="8">
        <v>9.0</v>
      </c>
    </row>
    <row r="54" ht="22.5" customHeight="1">
      <c r="A54" s="7">
        <v>46077.41456439815</v>
      </c>
      <c r="B54" s="8" t="s">
        <v>18</v>
      </c>
      <c r="C54" s="9">
        <v>46077.0</v>
      </c>
      <c r="D54" s="8" t="s">
        <v>23</v>
      </c>
      <c r="E54" s="8" t="s">
        <v>80</v>
      </c>
      <c r="F54" s="8" t="s">
        <v>21</v>
      </c>
      <c r="G54" s="8" t="s">
        <v>81</v>
      </c>
      <c r="H54" s="8">
        <v>5.0</v>
      </c>
      <c r="I54" s="8">
        <v>4.0</v>
      </c>
      <c r="J54" s="8">
        <v>4.0</v>
      </c>
      <c r="K54" s="8">
        <v>5.0</v>
      </c>
      <c r="M54" s="8">
        <v>5.0</v>
      </c>
      <c r="N54" s="8">
        <v>5.0</v>
      </c>
      <c r="O54" s="8">
        <v>5.0</v>
      </c>
      <c r="P54" s="8">
        <v>9.0</v>
      </c>
    </row>
    <row r="55" ht="22.5" customHeight="1">
      <c r="A55" s="7">
        <v>46077.41636430555</v>
      </c>
      <c r="B55" s="8" t="s">
        <v>18</v>
      </c>
      <c r="C55" s="9">
        <v>46077.0</v>
      </c>
      <c r="D55" s="8" t="s">
        <v>23</v>
      </c>
      <c r="E55" s="8" t="s">
        <v>80</v>
      </c>
      <c r="F55" s="8" t="s">
        <v>21</v>
      </c>
      <c r="G55" s="8" t="s">
        <v>81</v>
      </c>
      <c r="H55" s="8">
        <v>5.0</v>
      </c>
      <c r="I55" s="8">
        <v>4.0</v>
      </c>
      <c r="K55" s="8">
        <v>5.0</v>
      </c>
      <c r="M55" s="8">
        <v>5.0</v>
      </c>
      <c r="N55" s="8">
        <v>5.0</v>
      </c>
      <c r="O55" s="8">
        <v>5.0</v>
      </c>
      <c r="P55" s="8">
        <v>9.0</v>
      </c>
    </row>
    <row r="56" ht="22.5" customHeight="1">
      <c r="A56" s="7">
        <v>46077.4169824537</v>
      </c>
      <c r="B56" s="8" t="s">
        <v>18</v>
      </c>
      <c r="C56" s="9">
        <v>46077.0</v>
      </c>
      <c r="D56" s="8" t="s">
        <v>23</v>
      </c>
      <c r="E56" s="8" t="s">
        <v>80</v>
      </c>
      <c r="F56" s="8" t="s">
        <v>21</v>
      </c>
      <c r="G56" s="8" t="s">
        <v>81</v>
      </c>
      <c r="H56" s="8">
        <v>5.0</v>
      </c>
      <c r="I56" s="8">
        <v>5.0</v>
      </c>
      <c r="K56" s="8">
        <v>5.0</v>
      </c>
      <c r="M56" s="8">
        <v>5.0</v>
      </c>
      <c r="N56" s="8">
        <v>5.0</v>
      </c>
      <c r="O56" s="8">
        <v>5.0</v>
      </c>
      <c r="P56" s="8">
        <v>9.0</v>
      </c>
    </row>
    <row r="57" ht="22.5" customHeight="1">
      <c r="A57" s="7">
        <v>46077.417576064814</v>
      </c>
      <c r="B57" s="8" t="s">
        <v>18</v>
      </c>
      <c r="C57" s="9">
        <v>46077.0</v>
      </c>
      <c r="D57" s="8" t="s">
        <v>23</v>
      </c>
      <c r="E57" s="8" t="s">
        <v>80</v>
      </c>
      <c r="F57" s="8" t="s">
        <v>21</v>
      </c>
      <c r="G57" s="8" t="s">
        <v>81</v>
      </c>
      <c r="H57" s="8">
        <v>5.0</v>
      </c>
      <c r="I57" s="8">
        <v>5.0</v>
      </c>
      <c r="K57" s="8">
        <v>5.0</v>
      </c>
      <c r="M57" s="8">
        <v>5.0</v>
      </c>
      <c r="N57" s="8">
        <v>5.0</v>
      </c>
      <c r="O57" s="8">
        <v>5.0</v>
      </c>
      <c r="P57" s="8">
        <v>9.0</v>
      </c>
    </row>
    <row r="58" ht="22.5" customHeight="1">
      <c r="A58" s="7">
        <v>46077.418214606485</v>
      </c>
      <c r="B58" s="8" t="s">
        <v>18</v>
      </c>
      <c r="C58" s="9">
        <v>46077.0</v>
      </c>
      <c r="D58" s="8" t="s">
        <v>23</v>
      </c>
      <c r="E58" s="8" t="s">
        <v>80</v>
      </c>
      <c r="F58" s="8" t="s">
        <v>21</v>
      </c>
      <c r="G58" s="8" t="s">
        <v>81</v>
      </c>
      <c r="H58" s="8">
        <v>4.0</v>
      </c>
      <c r="I58" s="8">
        <v>4.0</v>
      </c>
      <c r="J58" s="8">
        <v>4.0</v>
      </c>
      <c r="K58" s="8">
        <v>4.0</v>
      </c>
      <c r="M58" s="8">
        <v>4.0</v>
      </c>
      <c r="N58" s="8">
        <v>4.0</v>
      </c>
      <c r="O58" s="8">
        <v>4.0</v>
      </c>
      <c r="P58" s="8">
        <v>8.0</v>
      </c>
    </row>
    <row r="59" ht="22.5" customHeight="1">
      <c r="A59" s="7">
        <v>46077.420010104164</v>
      </c>
      <c r="B59" s="8" t="s">
        <v>18</v>
      </c>
      <c r="C59" s="9">
        <v>45946.0</v>
      </c>
      <c r="D59" s="8" t="s">
        <v>19</v>
      </c>
      <c r="F59" s="8" t="s">
        <v>21</v>
      </c>
      <c r="G59" s="8" t="s">
        <v>53</v>
      </c>
      <c r="H59" s="8">
        <v>5.0</v>
      </c>
      <c r="I59" s="8">
        <v>5.0</v>
      </c>
      <c r="J59" s="8">
        <v>5.0</v>
      </c>
      <c r="K59" s="8">
        <v>5.0</v>
      </c>
      <c r="M59" s="8">
        <v>5.0</v>
      </c>
      <c r="N59" s="8">
        <v>5.0</v>
      </c>
      <c r="O59" s="8">
        <v>5.0</v>
      </c>
      <c r="P59" s="8">
        <v>9.0</v>
      </c>
    </row>
    <row r="60" ht="22.5" customHeight="1">
      <c r="A60" s="7">
        <v>46077.420817754624</v>
      </c>
      <c r="B60" s="8" t="s">
        <v>18</v>
      </c>
      <c r="C60" s="9">
        <v>45954.0</v>
      </c>
      <c r="D60" s="8" t="s">
        <v>23</v>
      </c>
      <c r="F60" s="8" t="s">
        <v>29</v>
      </c>
      <c r="G60" s="8" t="s">
        <v>22</v>
      </c>
      <c r="H60" s="8">
        <v>4.0</v>
      </c>
      <c r="I60" s="8">
        <v>4.0</v>
      </c>
      <c r="J60" s="8">
        <v>4.0</v>
      </c>
      <c r="K60" s="8">
        <v>4.0</v>
      </c>
      <c r="L60" s="8">
        <v>4.0</v>
      </c>
      <c r="M60" s="8">
        <v>4.0</v>
      </c>
      <c r="N60" s="8">
        <v>4.0</v>
      </c>
      <c r="O60" s="8">
        <v>4.0</v>
      </c>
      <c r="P60" s="8">
        <v>8.0</v>
      </c>
    </row>
    <row r="61" ht="22.5" customHeight="1">
      <c r="A61" s="7">
        <v>46077.4214961574</v>
      </c>
      <c r="B61" s="8" t="s">
        <v>18</v>
      </c>
      <c r="C61" s="9">
        <v>45946.0</v>
      </c>
      <c r="D61" s="8" t="s">
        <v>23</v>
      </c>
      <c r="F61" s="8" t="s">
        <v>21</v>
      </c>
      <c r="G61" s="8" t="s">
        <v>22</v>
      </c>
      <c r="H61" s="8">
        <v>5.0</v>
      </c>
      <c r="I61" s="8">
        <v>5.0</v>
      </c>
      <c r="J61" s="8">
        <v>5.0</v>
      </c>
      <c r="K61" s="8">
        <v>5.0</v>
      </c>
      <c r="L61" s="8">
        <v>4.0</v>
      </c>
      <c r="M61" s="8">
        <v>5.0</v>
      </c>
      <c r="N61" s="8">
        <v>5.0</v>
      </c>
      <c r="O61" s="8">
        <v>5.0</v>
      </c>
      <c r="P61" s="8">
        <v>10.0</v>
      </c>
    </row>
    <row r="62" ht="22.5" customHeight="1">
      <c r="A62" s="7">
        <v>46077.4230377662</v>
      </c>
      <c r="B62" s="8" t="s">
        <v>18</v>
      </c>
      <c r="C62" s="9">
        <v>45954.0</v>
      </c>
      <c r="D62" s="8" t="s">
        <v>23</v>
      </c>
      <c r="F62" s="8" t="s">
        <v>21</v>
      </c>
      <c r="G62" s="8" t="s">
        <v>22</v>
      </c>
      <c r="H62" s="8">
        <v>1.0</v>
      </c>
      <c r="I62" s="8">
        <v>5.0</v>
      </c>
      <c r="J62" s="8">
        <v>5.0</v>
      </c>
      <c r="K62" s="8">
        <v>5.0</v>
      </c>
      <c r="L62" s="8">
        <v>4.0</v>
      </c>
      <c r="M62" s="8">
        <v>5.0</v>
      </c>
      <c r="N62" s="8">
        <v>5.0</v>
      </c>
      <c r="O62" s="8">
        <v>5.0</v>
      </c>
      <c r="P62" s="8">
        <v>9.0</v>
      </c>
      <c r="Q62" s="8" t="s">
        <v>82</v>
      </c>
    </row>
    <row r="63" ht="22.5" customHeight="1">
      <c r="A63" s="7">
        <v>46077.42402773148</v>
      </c>
      <c r="B63" s="8" t="s">
        <v>18</v>
      </c>
      <c r="C63" s="9">
        <v>46077.0</v>
      </c>
      <c r="D63" s="8" t="s">
        <v>23</v>
      </c>
      <c r="E63" s="8" t="s">
        <v>80</v>
      </c>
      <c r="F63" s="8" t="s">
        <v>21</v>
      </c>
      <c r="G63" s="8" t="s">
        <v>81</v>
      </c>
      <c r="H63" s="8">
        <v>5.0</v>
      </c>
      <c r="I63" s="8">
        <v>5.0</v>
      </c>
      <c r="J63" s="8">
        <v>5.0</v>
      </c>
      <c r="K63" s="8">
        <v>5.0</v>
      </c>
      <c r="M63" s="8">
        <v>5.0</v>
      </c>
      <c r="N63" s="8">
        <v>4.0</v>
      </c>
      <c r="O63" s="8">
        <v>4.0</v>
      </c>
      <c r="P63" s="8">
        <v>10.0</v>
      </c>
    </row>
    <row r="64" ht="22.5" customHeight="1">
      <c r="A64" s="7">
        <v>46077.42489079861</v>
      </c>
      <c r="B64" s="8" t="s">
        <v>18</v>
      </c>
      <c r="C64" s="9">
        <v>46077.0</v>
      </c>
      <c r="D64" s="8" t="s">
        <v>23</v>
      </c>
      <c r="E64" s="8" t="s">
        <v>80</v>
      </c>
      <c r="F64" s="8" t="s">
        <v>21</v>
      </c>
      <c r="G64" s="8" t="s">
        <v>81</v>
      </c>
      <c r="H64" s="8">
        <v>5.0</v>
      </c>
      <c r="I64" s="8">
        <v>4.0</v>
      </c>
      <c r="J64" s="8">
        <v>4.0</v>
      </c>
      <c r="K64" s="8">
        <v>5.0</v>
      </c>
      <c r="M64" s="8">
        <v>4.0</v>
      </c>
      <c r="N64" s="8">
        <v>5.0</v>
      </c>
      <c r="O64" s="8">
        <v>5.0</v>
      </c>
      <c r="P64" s="8">
        <v>10.0</v>
      </c>
    </row>
    <row r="65" ht="22.5" customHeight="1">
      <c r="A65" s="7">
        <v>46077.4255508912</v>
      </c>
      <c r="B65" s="8" t="s">
        <v>18</v>
      </c>
      <c r="C65" s="9">
        <v>46077.0</v>
      </c>
      <c r="D65" s="8" t="s">
        <v>23</v>
      </c>
      <c r="E65" s="8" t="s">
        <v>80</v>
      </c>
      <c r="F65" s="8" t="s">
        <v>21</v>
      </c>
      <c r="G65" s="8" t="s">
        <v>81</v>
      </c>
      <c r="H65" s="8">
        <v>4.0</v>
      </c>
      <c r="I65" s="8">
        <v>4.0</v>
      </c>
      <c r="J65" s="8">
        <v>4.0</v>
      </c>
      <c r="K65" s="8">
        <v>4.0</v>
      </c>
      <c r="M65" s="8">
        <v>4.0</v>
      </c>
      <c r="N65" s="8">
        <v>4.0</v>
      </c>
      <c r="O65" s="8">
        <v>4.0</v>
      </c>
      <c r="P65" s="8">
        <v>10.0</v>
      </c>
    </row>
    <row r="66" ht="22.5" customHeight="1">
      <c r="A66" s="7">
        <v>46079.25361876158</v>
      </c>
      <c r="B66" s="8" t="s">
        <v>18</v>
      </c>
      <c r="C66" s="9">
        <v>46079.0</v>
      </c>
      <c r="D66" s="8" t="s">
        <v>23</v>
      </c>
      <c r="E66" s="8" t="s">
        <v>83</v>
      </c>
      <c r="F66" s="8" t="s">
        <v>21</v>
      </c>
      <c r="G66" s="8" t="s">
        <v>47</v>
      </c>
      <c r="H66" s="8">
        <v>5.0</v>
      </c>
      <c r="I66" s="8">
        <v>5.0</v>
      </c>
      <c r="J66" s="8">
        <v>5.0</v>
      </c>
      <c r="K66" s="8">
        <v>5.0</v>
      </c>
      <c r="L66" s="8">
        <v>5.0</v>
      </c>
      <c r="M66" s="8">
        <v>5.0</v>
      </c>
      <c r="N66" s="8">
        <v>5.0</v>
      </c>
      <c r="O66" s="8">
        <v>5.0</v>
      </c>
      <c r="P66" s="8">
        <v>10.0</v>
      </c>
    </row>
    <row r="67" ht="22.5" customHeight="1">
      <c r="A67" s="10">
        <v>46087.6113191551</v>
      </c>
      <c r="B67" s="11" t="s">
        <v>18</v>
      </c>
      <c r="C67" s="12" t="s">
        <v>84</v>
      </c>
      <c r="D67" s="11" t="s">
        <v>23</v>
      </c>
      <c r="E67" s="11" t="s">
        <v>25</v>
      </c>
      <c r="F67" s="11" t="s">
        <v>29</v>
      </c>
      <c r="G67" s="11" t="s">
        <v>22</v>
      </c>
      <c r="H67" s="11">
        <v>5.0</v>
      </c>
      <c r="I67" s="11">
        <v>5.0</v>
      </c>
      <c r="J67" s="11">
        <v>5.0</v>
      </c>
      <c r="K67" s="11">
        <v>5.0</v>
      </c>
      <c r="L67" s="11">
        <v>5.0</v>
      </c>
      <c r="M67" s="11">
        <v>5.0</v>
      </c>
      <c r="N67" s="11">
        <v>5.0</v>
      </c>
      <c r="O67" s="11">
        <v>5.0</v>
      </c>
      <c r="P67" s="11">
        <v>10.0</v>
      </c>
      <c r="Q67" s="11" t="s">
        <v>85</v>
      </c>
      <c r="R67" s="11" t="s">
        <v>86</v>
      </c>
      <c r="S67" s="13"/>
      <c r="T67" s="13"/>
      <c r="U67" s="13"/>
      <c r="V67" s="13"/>
      <c r="W67" s="13"/>
      <c r="X67" s="13"/>
    </row>
    <row r="68" ht="22.5" customHeight="1">
      <c r="A68" s="10">
        <v>46087.72465645833</v>
      </c>
      <c r="B68" s="11" t="s">
        <v>18</v>
      </c>
      <c r="C68" s="12">
        <v>46087.0</v>
      </c>
      <c r="D68" s="11" t="s">
        <v>23</v>
      </c>
      <c r="E68" s="14"/>
      <c r="F68" s="11" t="s">
        <v>21</v>
      </c>
      <c r="G68" s="11" t="s">
        <v>22</v>
      </c>
      <c r="H68" s="11">
        <v>5.0</v>
      </c>
      <c r="I68" s="11">
        <v>4.0</v>
      </c>
      <c r="J68" s="11">
        <v>4.0</v>
      </c>
      <c r="K68" s="11">
        <v>4.0</v>
      </c>
      <c r="L68" s="11">
        <v>5.0</v>
      </c>
      <c r="M68" s="11">
        <v>5.0</v>
      </c>
      <c r="N68" s="11">
        <v>5.0</v>
      </c>
      <c r="O68" s="11">
        <v>5.0</v>
      </c>
      <c r="P68" s="11">
        <v>10.0</v>
      </c>
      <c r="Q68" s="14"/>
      <c r="R68" s="14"/>
      <c r="S68" s="13"/>
      <c r="T68" s="13"/>
      <c r="U68" s="13"/>
      <c r="V68" s="13"/>
      <c r="W68" s="13"/>
      <c r="X68" s="13"/>
    </row>
    <row r="69" ht="22.5" customHeight="1">
      <c r="A69" s="10">
        <v>46091.50042408565</v>
      </c>
      <c r="B69" s="11" t="s">
        <v>18</v>
      </c>
      <c r="C69" s="12">
        <v>46091.0</v>
      </c>
      <c r="D69" s="11" t="s">
        <v>23</v>
      </c>
      <c r="E69" s="11" t="s">
        <v>87</v>
      </c>
      <c r="F69" s="11" t="s">
        <v>21</v>
      </c>
      <c r="G69" s="11" t="s">
        <v>22</v>
      </c>
      <c r="H69" s="11">
        <v>5.0</v>
      </c>
      <c r="I69" s="11">
        <v>5.0</v>
      </c>
      <c r="J69" s="11">
        <v>5.0</v>
      </c>
      <c r="K69" s="11">
        <v>5.0</v>
      </c>
      <c r="L69" s="11">
        <v>5.0</v>
      </c>
      <c r="M69" s="11">
        <v>5.0</v>
      </c>
      <c r="N69" s="11">
        <v>5.0</v>
      </c>
      <c r="O69" s="11">
        <v>5.0</v>
      </c>
      <c r="P69" s="11">
        <v>10.0</v>
      </c>
      <c r="Q69" s="11" t="s">
        <v>88</v>
      </c>
      <c r="R69" s="11" t="s">
        <v>89</v>
      </c>
      <c r="S69" s="13"/>
      <c r="T69" s="13"/>
      <c r="U69" s="13"/>
      <c r="V69" s="13"/>
      <c r="W69" s="13"/>
      <c r="X69" s="13"/>
    </row>
    <row r="70" ht="22.5" customHeight="1">
      <c r="A70" s="10">
        <v>46094.55885829861</v>
      </c>
      <c r="B70" s="11" t="s">
        <v>18</v>
      </c>
      <c r="C70" s="12">
        <v>46093.0</v>
      </c>
      <c r="D70" s="11" t="s">
        <v>23</v>
      </c>
      <c r="E70" s="14"/>
      <c r="F70" s="11" t="s">
        <v>21</v>
      </c>
      <c r="G70" s="11" t="s">
        <v>22</v>
      </c>
      <c r="H70" s="11">
        <v>5.0</v>
      </c>
      <c r="I70" s="11">
        <v>5.0</v>
      </c>
      <c r="J70" s="11">
        <v>5.0</v>
      </c>
      <c r="K70" s="11">
        <v>5.0</v>
      </c>
      <c r="L70" s="11">
        <v>5.0</v>
      </c>
      <c r="M70" s="11">
        <v>5.0</v>
      </c>
      <c r="N70" s="11">
        <v>5.0</v>
      </c>
      <c r="O70" s="11">
        <v>5.0</v>
      </c>
      <c r="P70" s="11">
        <v>10.0</v>
      </c>
      <c r="Q70" s="11" t="s">
        <v>35</v>
      </c>
      <c r="R70" s="11" t="s">
        <v>35</v>
      </c>
      <c r="S70" s="13"/>
      <c r="T70" s="13"/>
      <c r="U70" s="13"/>
      <c r="V70" s="13"/>
      <c r="W70" s="13"/>
      <c r="X70" s="13"/>
    </row>
    <row r="71" ht="22.5" customHeight="1">
      <c r="A71" s="10">
        <v>46097.52093922454</v>
      </c>
      <c r="B71" s="11" t="s">
        <v>18</v>
      </c>
      <c r="C71" s="12">
        <v>46094.0</v>
      </c>
      <c r="D71" s="11" t="s">
        <v>23</v>
      </c>
      <c r="E71" s="14"/>
      <c r="F71" s="11" t="s">
        <v>29</v>
      </c>
      <c r="G71" s="11" t="s">
        <v>22</v>
      </c>
      <c r="H71" s="11">
        <v>4.0</v>
      </c>
      <c r="I71" s="11">
        <v>5.0</v>
      </c>
      <c r="J71" s="11">
        <v>5.0</v>
      </c>
      <c r="K71" s="11">
        <v>5.0</v>
      </c>
      <c r="L71" s="11">
        <v>5.0</v>
      </c>
      <c r="M71" s="11">
        <v>5.0</v>
      </c>
      <c r="N71" s="11">
        <v>5.0</v>
      </c>
      <c r="O71" s="11">
        <v>4.0</v>
      </c>
      <c r="P71" s="11">
        <v>9.0</v>
      </c>
      <c r="Q71" s="14"/>
      <c r="R71" s="14"/>
      <c r="S71" s="13"/>
      <c r="T71" s="13"/>
      <c r="U71" s="13"/>
      <c r="V71" s="13"/>
      <c r="W71" s="13"/>
      <c r="X71" s="13"/>
    </row>
    <row r="72" ht="22.5" customHeight="1">
      <c r="A72" s="10">
        <v>46101.389188113426</v>
      </c>
      <c r="B72" s="11" t="s">
        <v>18</v>
      </c>
      <c r="C72" s="12">
        <v>46100.0</v>
      </c>
      <c r="D72" s="11" t="s">
        <v>23</v>
      </c>
      <c r="E72" s="11" t="s">
        <v>28</v>
      </c>
      <c r="F72" s="11" t="s">
        <v>29</v>
      </c>
      <c r="G72" s="11" t="s">
        <v>22</v>
      </c>
      <c r="H72" s="11">
        <v>5.0</v>
      </c>
      <c r="I72" s="11">
        <v>5.0</v>
      </c>
      <c r="J72" s="11">
        <v>5.0</v>
      </c>
      <c r="K72" s="11">
        <v>5.0</v>
      </c>
      <c r="L72" s="11">
        <v>5.0</v>
      </c>
      <c r="M72" s="11">
        <v>5.0</v>
      </c>
      <c r="N72" s="11">
        <v>5.0</v>
      </c>
      <c r="O72" s="11">
        <v>5.0</v>
      </c>
      <c r="P72" s="11">
        <v>10.0</v>
      </c>
      <c r="Q72" s="11" t="s">
        <v>90</v>
      </c>
      <c r="R72" s="14"/>
      <c r="S72" s="13"/>
      <c r="T72" s="13"/>
      <c r="U72" s="13"/>
      <c r="V72" s="13"/>
      <c r="W72" s="13"/>
      <c r="X72" s="13"/>
    </row>
    <row r="73" ht="22.5" customHeight="1">
      <c r="A73" s="10">
        <v>46102.01784346065</v>
      </c>
      <c r="B73" s="11" t="s">
        <v>18</v>
      </c>
      <c r="C73" s="12">
        <v>46100.0</v>
      </c>
      <c r="D73" s="11" t="s">
        <v>23</v>
      </c>
      <c r="E73" s="11" t="s">
        <v>91</v>
      </c>
      <c r="F73" s="11" t="s">
        <v>21</v>
      </c>
      <c r="G73" s="11" t="s">
        <v>22</v>
      </c>
      <c r="H73" s="11">
        <v>5.0</v>
      </c>
      <c r="I73" s="11">
        <v>5.0</v>
      </c>
      <c r="J73" s="11">
        <v>5.0</v>
      </c>
      <c r="K73" s="11">
        <v>5.0</v>
      </c>
      <c r="L73" s="11">
        <v>5.0</v>
      </c>
      <c r="M73" s="11">
        <v>5.0</v>
      </c>
      <c r="N73" s="11">
        <v>5.0</v>
      </c>
      <c r="O73" s="11">
        <v>5.0</v>
      </c>
      <c r="P73" s="11">
        <v>10.0</v>
      </c>
      <c r="Q73" s="14"/>
      <c r="R73" s="14"/>
      <c r="S73" s="13"/>
      <c r="T73" s="13"/>
      <c r="U73" s="13"/>
      <c r="V73" s="13"/>
      <c r="W73" s="13"/>
      <c r="X73" s="13"/>
    </row>
    <row r="74" ht="22.5" customHeight="1">
      <c r="A74" s="10">
        <v>46104.43975335648</v>
      </c>
      <c r="B74" s="11" t="s">
        <v>18</v>
      </c>
      <c r="C74" s="12">
        <v>46104.0</v>
      </c>
      <c r="D74" s="11" t="s">
        <v>23</v>
      </c>
      <c r="E74" s="11" t="s">
        <v>28</v>
      </c>
      <c r="F74" s="11" t="s">
        <v>29</v>
      </c>
      <c r="G74" s="11" t="s">
        <v>22</v>
      </c>
      <c r="H74" s="11">
        <v>5.0</v>
      </c>
      <c r="I74" s="11">
        <v>5.0</v>
      </c>
      <c r="J74" s="11">
        <v>5.0</v>
      </c>
      <c r="K74" s="11">
        <v>5.0</v>
      </c>
      <c r="L74" s="11">
        <v>5.0</v>
      </c>
      <c r="M74" s="11">
        <v>5.0</v>
      </c>
      <c r="N74" s="11">
        <v>5.0</v>
      </c>
      <c r="O74" s="11">
        <v>5.0</v>
      </c>
      <c r="P74" s="11">
        <v>10.0</v>
      </c>
      <c r="Q74" s="11" t="s">
        <v>58</v>
      </c>
      <c r="R74" s="11" t="s">
        <v>58</v>
      </c>
      <c r="S74" s="13"/>
      <c r="T74" s="13"/>
      <c r="U74" s="13"/>
      <c r="V74" s="13"/>
      <c r="W74" s="13"/>
      <c r="X74" s="13"/>
    </row>
    <row r="75" ht="22.5" customHeight="1">
      <c r="A75" s="10">
        <v>46106.918452453705</v>
      </c>
      <c r="B75" s="11" t="s">
        <v>18</v>
      </c>
      <c r="C75" s="12">
        <v>46106.0</v>
      </c>
      <c r="D75" s="11" t="s">
        <v>23</v>
      </c>
      <c r="E75" s="14"/>
      <c r="F75" s="11" t="s">
        <v>21</v>
      </c>
      <c r="G75" s="11" t="s">
        <v>22</v>
      </c>
      <c r="H75" s="11">
        <v>5.0</v>
      </c>
      <c r="I75" s="11">
        <v>5.0</v>
      </c>
      <c r="J75" s="11">
        <v>5.0</v>
      </c>
      <c r="K75" s="11">
        <v>5.0</v>
      </c>
      <c r="L75" s="11">
        <v>5.0</v>
      </c>
      <c r="M75" s="11">
        <v>5.0</v>
      </c>
      <c r="N75" s="11">
        <v>5.0</v>
      </c>
      <c r="O75" s="11">
        <v>5.0</v>
      </c>
      <c r="P75" s="11">
        <v>10.0</v>
      </c>
      <c r="Q75" s="11" t="s">
        <v>65</v>
      </c>
      <c r="R75" s="11" t="s">
        <v>65</v>
      </c>
      <c r="S75" s="13"/>
      <c r="T75" s="13"/>
      <c r="U75" s="13"/>
      <c r="V75" s="13"/>
      <c r="W75" s="13"/>
      <c r="X75" s="13"/>
    </row>
    <row r="76" ht="22.5" customHeight="1">
      <c r="A76" s="10">
        <v>46106.91871960648</v>
      </c>
      <c r="B76" s="11" t="s">
        <v>18</v>
      </c>
      <c r="C76" s="12">
        <v>46104.0</v>
      </c>
      <c r="D76" s="11" t="s">
        <v>23</v>
      </c>
      <c r="E76" s="14"/>
      <c r="F76" s="11" t="s">
        <v>21</v>
      </c>
      <c r="G76" s="11" t="s">
        <v>22</v>
      </c>
      <c r="H76" s="11">
        <v>4.0</v>
      </c>
      <c r="I76" s="11">
        <v>3.0</v>
      </c>
      <c r="J76" s="11">
        <v>4.0</v>
      </c>
      <c r="K76" s="11">
        <v>4.0</v>
      </c>
      <c r="L76" s="11">
        <v>2.0</v>
      </c>
      <c r="M76" s="11">
        <v>4.0</v>
      </c>
      <c r="N76" s="11">
        <v>5.0</v>
      </c>
      <c r="O76" s="11">
        <v>5.0</v>
      </c>
      <c r="P76" s="11">
        <v>8.0</v>
      </c>
      <c r="Q76" s="14"/>
      <c r="R76" s="14"/>
      <c r="S76" s="13"/>
      <c r="T76" s="13"/>
      <c r="U76" s="13"/>
      <c r="V76" s="13"/>
      <c r="W76" s="13"/>
      <c r="X76" s="13"/>
    </row>
    <row r="77" ht="22.5" customHeight="1">
      <c r="A77" s="10">
        <v>46108.79459542824</v>
      </c>
      <c r="B77" s="11" t="s">
        <v>18</v>
      </c>
      <c r="C77" s="12">
        <v>46108.0</v>
      </c>
      <c r="D77" s="11" t="s">
        <v>23</v>
      </c>
      <c r="E77" s="11" t="s">
        <v>28</v>
      </c>
      <c r="F77" s="11" t="s">
        <v>21</v>
      </c>
      <c r="G77" s="11" t="s">
        <v>22</v>
      </c>
      <c r="H77" s="11">
        <v>5.0</v>
      </c>
      <c r="I77" s="11">
        <v>5.0</v>
      </c>
      <c r="J77" s="11">
        <v>5.0</v>
      </c>
      <c r="K77" s="11">
        <v>5.0</v>
      </c>
      <c r="L77" s="11">
        <v>5.0</v>
      </c>
      <c r="M77" s="11">
        <v>5.0</v>
      </c>
      <c r="N77" s="11">
        <v>5.0</v>
      </c>
      <c r="O77" s="11">
        <v>5.0</v>
      </c>
      <c r="P77" s="11">
        <v>10.0</v>
      </c>
      <c r="Q77" s="11" t="s">
        <v>92</v>
      </c>
      <c r="R77" s="11" t="s">
        <v>93</v>
      </c>
      <c r="S77" s="13"/>
      <c r="T77" s="13"/>
      <c r="U77" s="13"/>
      <c r="V77" s="13"/>
      <c r="W77" s="13"/>
      <c r="X77" s="13"/>
    </row>
    <row r="78" ht="22.5" customHeight="1">
      <c r="A78" s="10">
        <v>46109.811460428245</v>
      </c>
      <c r="B78" s="11" t="s">
        <v>18</v>
      </c>
      <c r="C78" s="12">
        <v>45743.0</v>
      </c>
      <c r="D78" s="11" t="s">
        <v>23</v>
      </c>
      <c r="E78" s="11" t="s">
        <v>94</v>
      </c>
      <c r="F78" s="11" t="s">
        <v>21</v>
      </c>
      <c r="G78" s="11" t="s">
        <v>22</v>
      </c>
      <c r="H78" s="11">
        <v>5.0</v>
      </c>
      <c r="I78" s="11">
        <v>5.0</v>
      </c>
      <c r="J78" s="11">
        <v>5.0</v>
      </c>
      <c r="K78" s="11">
        <v>5.0</v>
      </c>
      <c r="L78" s="11">
        <v>5.0</v>
      </c>
      <c r="M78" s="11">
        <v>5.0</v>
      </c>
      <c r="N78" s="11">
        <v>5.0</v>
      </c>
      <c r="O78" s="11">
        <v>5.0</v>
      </c>
      <c r="P78" s="11">
        <v>10.0</v>
      </c>
      <c r="Q78" s="11" t="s">
        <v>95</v>
      </c>
      <c r="R78" s="11" t="s">
        <v>96</v>
      </c>
      <c r="S78" s="13"/>
      <c r="T78" s="13"/>
      <c r="U78" s="13"/>
      <c r="V78" s="13"/>
      <c r="W78" s="13"/>
      <c r="X78" s="13"/>
    </row>
    <row r="79" ht="22.5" customHeight="1">
      <c r="A79" s="10">
        <v>46111.684655578705</v>
      </c>
      <c r="B79" s="11" t="s">
        <v>18</v>
      </c>
      <c r="C79" s="12">
        <v>46111.0</v>
      </c>
      <c r="D79" s="11" t="s">
        <v>23</v>
      </c>
      <c r="E79" s="11" t="s">
        <v>28</v>
      </c>
      <c r="F79" s="11" t="s">
        <v>21</v>
      </c>
      <c r="G79" s="11" t="s">
        <v>22</v>
      </c>
      <c r="H79" s="11">
        <v>4.0</v>
      </c>
      <c r="I79" s="11">
        <v>4.0</v>
      </c>
      <c r="J79" s="11">
        <v>4.0</v>
      </c>
      <c r="K79" s="11">
        <v>4.0</v>
      </c>
      <c r="L79" s="11">
        <v>4.0</v>
      </c>
      <c r="M79" s="11">
        <v>4.0</v>
      </c>
      <c r="N79" s="11">
        <v>4.0</v>
      </c>
      <c r="O79" s="11">
        <v>5.0</v>
      </c>
      <c r="P79" s="11">
        <v>8.0</v>
      </c>
      <c r="Q79" s="14"/>
      <c r="R79" s="14"/>
      <c r="S79" s="13"/>
      <c r="T79" s="13"/>
      <c r="U79" s="13"/>
      <c r="V79" s="13"/>
      <c r="W79" s="13"/>
      <c r="X79" s="13"/>
    </row>
    <row r="80" ht="22.5" customHeight="1">
      <c r="A80" s="10">
        <v>46119.771398275465</v>
      </c>
      <c r="B80" s="11" t="s">
        <v>18</v>
      </c>
      <c r="C80" s="12">
        <v>46119.0</v>
      </c>
      <c r="D80" s="11" t="s">
        <v>23</v>
      </c>
      <c r="E80" s="14"/>
      <c r="F80" s="11" t="s">
        <v>21</v>
      </c>
      <c r="G80" s="11" t="s">
        <v>22</v>
      </c>
      <c r="H80" s="14"/>
      <c r="I80" s="11">
        <v>4.0</v>
      </c>
      <c r="J80" s="11">
        <v>5.0</v>
      </c>
      <c r="K80" s="11">
        <v>3.0</v>
      </c>
      <c r="L80" s="11">
        <v>4.0</v>
      </c>
      <c r="M80" s="11">
        <v>5.0</v>
      </c>
      <c r="N80" s="11">
        <v>5.0</v>
      </c>
      <c r="O80" s="11">
        <v>5.0</v>
      </c>
      <c r="P80" s="11">
        <v>9.0</v>
      </c>
      <c r="Q80" s="14"/>
      <c r="R80" s="14"/>
      <c r="S80" s="13"/>
      <c r="T80" s="13"/>
      <c r="U80" s="13"/>
      <c r="V80" s="13"/>
      <c r="W80" s="13"/>
      <c r="X80" s="13"/>
    </row>
    <row r="81" ht="22.5" customHeight="1">
      <c r="A81" s="10">
        <v>46121.80031900463</v>
      </c>
      <c r="B81" s="11" t="s">
        <v>18</v>
      </c>
      <c r="C81" s="12">
        <v>46118.0</v>
      </c>
      <c r="D81" s="11" t="s">
        <v>23</v>
      </c>
      <c r="E81" s="11" t="s">
        <v>56</v>
      </c>
      <c r="F81" s="11" t="s">
        <v>21</v>
      </c>
      <c r="G81" s="11" t="s">
        <v>22</v>
      </c>
      <c r="H81" s="11">
        <v>5.0</v>
      </c>
      <c r="I81" s="11">
        <v>5.0</v>
      </c>
      <c r="J81" s="11">
        <v>5.0</v>
      </c>
      <c r="K81" s="11">
        <v>5.0</v>
      </c>
      <c r="L81" s="11">
        <v>3.0</v>
      </c>
      <c r="M81" s="11">
        <v>5.0</v>
      </c>
      <c r="N81" s="11">
        <v>5.0</v>
      </c>
      <c r="O81" s="11">
        <v>5.0</v>
      </c>
      <c r="P81" s="11">
        <v>8.0</v>
      </c>
      <c r="Q81" s="14"/>
      <c r="R81" s="14"/>
      <c r="S81" s="13"/>
      <c r="T81" s="13"/>
      <c r="U81" s="13"/>
      <c r="V81" s="13"/>
      <c r="W81" s="13"/>
      <c r="X81" s="13"/>
    </row>
    <row r="82" ht="22.5" customHeight="1">
      <c r="A82" s="10">
        <v>46122.336820717595</v>
      </c>
      <c r="B82" s="11" t="s">
        <v>18</v>
      </c>
      <c r="C82" s="12">
        <v>46120.0</v>
      </c>
      <c r="D82" s="11" t="s">
        <v>23</v>
      </c>
      <c r="E82" s="11" t="s">
        <v>97</v>
      </c>
      <c r="F82" s="11" t="s">
        <v>21</v>
      </c>
      <c r="G82" s="11" t="s">
        <v>22</v>
      </c>
      <c r="H82" s="11">
        <v>5.0</v>
      </c>
      <c r="I82" s="11">
        <v>5.0</v>
      </c>
      <c r="J82" s="11">
        <v>5.0</v>
      </c>
      <c r="K82" s="11">
        <v>5.0</v>
      </c>
      <c r="L82" s="11">
        <v>5.0</v>
      </c>
      <c r="M82" s="11">
        <v>5.0</v>
      </c>
      <c r="N82" s="11">
        <v>5.0</v>
      </c>
      <c r="O82" s="11">
        <v>5.0</v>
      </c>
      <c r="P82" s="11">
        <v>10.0</v>
      </c>
      <c r="Q82" s="11" t="s">
        <v>35</v>
      </c>
      <c r="R82" s="11" t="s">
        <v>35</v>
      </c>
      <c r="S82" s="13"/>
      <c r="T82" s="13"/>
      <c r="U82" s="13"/>
      <c r="V82" s="13"/>
      <c r="W82" s="13"/>
      <c r="X82" s="13"/>
    </row>
    <row r="83" ht="22.5" customHeight="1">
      <c r="A83" s="10">
        <v>46125.47342056713</v>
      </c>
      <c r="B83" s="11" t="s">
        <v>18</v>
      </c>
      <c r="C83" s="12">
        <v>46098.0</v>
      </c>
      <c r="D83" s="11" t="s">
        <v>23</v>
      </c>
      <c r="E83" s="14"/>
      <c r="F83" s="11" t="s">
        <v>21</v>
      </c>
      <c r="G83" s="11" t="s">
        <v>22</v>
      </c>
      <c r="H83" s="11">
        <v>5.0</v>
      </c>
      <c r="I83" s="11">
        <v>5.0</v>
      </c>
      <c r="J83" s="11">
        <v>5.0</v>
      </c>
      <c r="K83" s="11">
        <v>5.0</v>
      </c>
      <c r="L83" s="11">
        <v>5.0</v>
      </c>
      <c r="M83" s="11">
        <v>5.0</v>
      </c>
      <c r="N83" s="11">
        <v>5.0</v>
      </c>
      <c r="O83" s="11">
        <v>5.0</v>
      </c>
      <c r="P83" s="11">
        <v>10.0</v>
      </c>
      <c r="Q83" s="14"/>
      <c r="R83" s="14"/>
      <c r="S83" s="13"/>
      <c r="T83" s="13"/>
      <c r="U83" s="13"/>
      <c r="V83" s="13"/>
      <c r="W83" s="13"/>
      <c r="X83" s="13"/>
    </row>
    <row r="84" ht="22.5" customHeight="1">
      <c r="A84" s="10">
        <v>46126.40964489583</v>
      </c>
      <c r="B84" s="11" t="s">
        <v>18</v>
      </c>
      <c r="C84" s="12">
        <v>46126.0</v>
      </c>
      <c r="D84" s="11" t="s">
        <v>23</v>
      </c>
      <c r="E84" s="14"/>
      <c r="F84" s="11" t="s">
        <v>21</v>
      </c>
      <c r="G84" s="11" t="s">
        <v>22</v>
      </c>
      <c r="H84" s="11">
        <v>5.0</v>
      </c>
      <c r="I84" s="11">
        <v>5.0</v>
      </c>
      <c r="J84" s="11">
        <v>5.0</v>
      </c>
      <c r="K84" s="11">
        <v>5.0</v>
      </c>
      <c r="L84" s="11">
        <v>5.0</v>
      </c>
      <c r="M84" s="11">
        <v>5.0</v>
      </c>
      <c r="N84" s="11">
        <v>5.0</v>
      </c>
      <c r="O84" s="11">
        <v>5.0</v>
      </c>
      <c r="P84" s="11">
        <v>10.0</v>
      </c>
      <c r="Q84" s="11" t="s">
        <v>98</v>
      </c>
      <c r="R84" s="14"/>
      <c r="S84" s="13"/>
      <c r="T84" s="13"/>
      <c r="U84" s="13"/>
      <c r="V84" s="13"/>
      <c r="W84" s="13"/>
      <c r="X84" s="13"/>
    </row>
    <row r="85" ht="22.5" customHeight="1">
      <c r="A85" s="10">
        <v>46126.45734596065</v>
      </c>
      <c r="B85" s="11" t="s">
        <v>18</v>
      </c>
      <c r="C85" s="12">
        <v>46126.0</v>
      </c>
      <c r="D85" s="11" t="s">
        <v>23</v>
      </c>
      <c r="E85" s="11" t="s">
        <v>99</v>
      </c>
      <c r="F85" s="11" t="s">
        <v>21</v>
      </c>
      <c r="G85" s="11" t="s">
        <v>100</v>
      </c>
      <c r="H85" s="11">
        <v>5.0</v>
      </c>
      <c r="I85" s="11">
        <v>5.0</v>
      </c>
      <c r="J85" s="11">
        <v>5.0</v>
      </c>
      <c r="K85" s="11">
        <v>5.0</v>
      </c>
      <c r="L85" s="11">
        <v>5.0</v>
      </c>
      <c r="M85" s="11">
        <v>5.0</v>
      </c>
      <c r="N85" s="11">
        <v>5.0</v>
      </c>
      <c r="O85" s="11">
        <v>5.0</v>
      </c>
      <c r="P85" s="11">
        <v>10.0</v>
      </c>
      <c r="Q85" s="14"/>
      <c r="R85" s="14"/>
      <c r="S85" s="13"/>
      <c r="T85" s="13"/>
      <c r="U85" s="13"/>
      <c r="V85" s="13"/>
      <c r="W85" s="13"/>
      <c r="X85" s="13"/>
    </row>
    <row r="86" ht="22.5" customHeight="1">
      <c r="A86" s="10">
        <v>46126.64487577546</v>
      </c>
      <c r="B86" s="11" t="s">
        <v>18</v>
      </c>
      <c r="C86" s="12">
        <v>46126.0</v>
      </c>
      <c r="D86" s="11" t="s">
        <v>23</v>
      </c>
      <c r="E86" s="11" t="s">
        <v>28</v>
      </c>
      <c r="F86" s="11" t="s">
        <v>21</v>
      </c>
      <c r="G86" s="11" t="s">
        <v>22</v>
      </c>
      <c r="H86" s="11">
        <v>5.0</v>
      </c>
      <c r="I86" s="11">
        <v>5.0</v>
      </c>
      <c r="J86" s="11">
        <v>5.0</v>
      </c>
      <c r="K86" s="11">
        <v>5.0</v>
      </c>
      <c r="L86" s="11">
        <v>5.0</v>
      </c>
      <c r="M86" s="11">
        <v>5.0</v>
      </c>
      <c r="N86" s="11">
        <v>5.0</v>
      </c>
      <c r="O86" s="11">
        <v>5.0</v>
      </c>
      <c r="P86" s="11">
        <v>10.0</v>
      </c>
      <c r="Q86" s="11" t="s">
        <v>101</v>
      </c>
      <c r="R86" s="11" t="s">
        <v>101</v>
      </c>
      <c r="S86" s="13"/>
      <c r="T86" s="13"/>
      <c r="U86" s="13"/>
      <c r="V86" s="13"/>
      <c r="W86" s="13"/>
      <c r="X86" s="13"/>
    </row>
    <row r="87" ht="22.5" customHeight="1">
      <c r="A87" s="10">
        <v>46126.75850211806</v>
      </c>
      <c r="B87" s="11" t="s">
        <v>18</v>
      </c>
      <c r="C87" s="12">
        <v>46126.0</v>
      </c>
      <c r="D87" s="11" t="s">
        <v>23</v>
      </c>
      <c r="E87" s="11" t="s">
        <v>102</v>
      </c>
      <c r="F87" s="11" t="s">
        <v>29</v>
      </c>
      <c r="G87" s="11" t="s">
        <v>22</v>
      </c>
      <c r="H87" s="11">
        <v>5.0</v>
      </c>
      <c r="I87" s="11">
        <v>5.0</v>
      </c>
      <c r="J87" s="11">
        <v>5.0</v>
      </c>
      <c r="K87" s="11">
        <v>5.0</v>
      </c>
      <c r="L87" s="11">
        <v>5.0</v>
      </c>
      <c r="M87" s="11">
        <v>5.0</v>
      </c>
      <c r="N87" s="11">
        <v>5.0</v>
      </c>
      <c r="O87" s="11">
        <v>5.0</v>
      </c>
      <c r="P87" s="11">
        <v>10.0</v>
      </c>
      <c r="Q87" s="11" t="s">
        <v>103</v>
      </c>
      <c r="R87" s="11" t="s">
        <v>104</v>
      </c>
      <c r="S87" s="13"/>
      <c r="T87" s="13"/>
      <c r="U87" s="13"/>
      <c r="V87" s="13"/>
      <c r="W87" s="13"/>
      <c r="X87" s="13"/>
    </row>
    <row r="88" ht="22.5" customHeight="1">
      <c r="A88" s="10">
        <v>46126.83206127315</v>
      </c>
      <c r="B88" s="11" t="s">
        <v>18</v>
      </c>
      <c r="C88" s="12">
        <v>46126.0</v>
      </c>
      <c r="D88" s="11" t="s">
        <v>23</v>
      </c>
      <c r="E88" s="11" t="s">
        <v>28</v>
      </c>
      <c r="F88" s="11" t="s">
        <v>21</v>
      </c>
      <c r="G88" s="11" t="s">
        <v>22</v>
      </c>
      <c r="H88" s="11">
        <v>5.0</v>
      </c>
      <c r="I88" s="11">
        <v>5.0</v>
      </c>
      <c r="J88" s="11">
        <v>5.0</v>
      </c>
      <c r="K88" s="11">
        <v>5.0</v>
      </c>
      <c r="L88" s="11">
        <v>5.0</v>
      </c>
      <c r="M88" s="11">
        <v>5.0</v>
      </c>
      <c r="N88" s="11">
        <v>5.0</v>
      </c>
      <c r="O88" s="11">
        <v>5.0</v>
      </c>
      <c r="P88" s="11">
        <v>10.0</v>
      </c>
      <c r="Q88" s="11" t="s">
        <v>105</v>
      </c>
      <c r="R88" s="11" t="s">
        <v>35</v>
      </c>
      <c r="S88" s="13"/>
      <c r="T88" s="13"/>
      <c r="U88" s="13"/>
      <c r="V88" s="13"/>
      <c r="W88" s="13"/>
      <c r="X88" s="13"/>
    </row>
    <row r="89" ht="22.5" customHeight="1">
      <c r="A89" s="10">
        <v>46128.547095057875</v>
      </c>
      <c r="B89" s="11" t="s">
        <v>18</v>
      </c>
      <c r="C89" s="12">
        <v>46128.0</v>
      </c>
      <c r="D89" s="11" t="s">
        <v>23</v>
      </c>
      <c r="E89" s="11" t="s">
        <v>106</v>
      </c>
      <c r="F89" s="11" t="s">
        <v>21</v>
      </c>
      <c r="G89" s="11" t="s">
        <v>22</v>
      </c>
      <c r="H89" s="11">
        <v>5.0</v>
      </c>
      <c r="I89" s="11">
        <v>5.0</v>
      </c>
      <c r="J89" s="11">
        <v>5.0</v>
      </c>
      <c r="K89" s="11">
        <v>5.0</v>
      </c>
      <c r="L89" s="11">
        <v>5.0</v>
      </c>
      <c r="M89" s="11">
        <v>5.0</v>
      </c>
      <c r="N89" s="11">
        <v>5.0</v>
      </c>
      <c r="O89" s="11">
        <v>5.0</v>
      </c>
      <c r="P89" s="11">
        <v>10.0</v>
      </c>
      <c r="Q89" s="11" t="s">
        <v>107</v>
      </c>
      <c r="R89" s="11" t="s">
        <v>108</v>
      </c>
      <c r="S89" s="13"/>
      <c r="T89" s="13"/>
      <c r="U89" s="13"/>
      <c r="V89" s="13"/>
      <c r="W89" s="13"/>
      <c r="X89" s="13"/>
    </row>
    <row r="90" ht="22.5" customHeight="1">
      <c r="A90" s="10">
        <v>46128.547258391205</v>
      </c>
      <c r="B90" s="11" t="s">
        <v>18</v>
      </c>
      <c r="C90" s="12">
        <v>46128.0</v>
      </c>
      <c r="D90" s="11" t="s">
        <v>23</v>
      </c>
      <c r="E90" s="14"/>
      <c r="F90" s="11" t="s">
        <v>21</v>
      </c>
      <c r="G90" s="11" t="s">
        <v>22</v>
      </c>
      <c r="H90" s="11">
        <v>5.0</v>
      </c>
      <c r="I90" s="11">
        <v>5.0</v>
      </c>
      <c r="J90" s="11">
        <v>5.0</v>
      </c>
      <c r="K90" s="11">
        <v>5.0</v>
      </c>
      <c r="L90" s="11">
        <v>5.0</v>
      </c>
      <c r="M90" s="11">
        <v>5.0</v>
      </c>
      <c r="N90" s="11">
        <v>5.0</v>
      </c>
      <c r="O90" s="11">
        <v>5.0</v>
      </c>
      <c r="P90" s="11">
        <v>10.0</v>
      </c>
      <c r="Q90" s="14"/>
      <c r="R90" s="14"/>
      <c r="S90" s="13"/>
      <c r="T90" s="13"/>
      <c r="U90" s="13"/>
      <c r="V90" s="13"/>
      <c r="W90" s="13"/>
      <c r="X90" s="13"/>
    </row>
    <row r="91" ht="22.5" customHeight="1">
      <c r="A91" s="10">
        <v>46128.55222694445</v>
      </c>
      <c r="B91" s="11" t="s">
        <v>18</v>
      </c>
      <c r="C91" s="12">
        <v>46128.0</v>
      </c>
      <c r="D91" s="11" t="s">
        <v>23</v>
      </c>
      <c r="E91" s="14"/>
      <c r="F91" s="11" t="s">
        <v>21</v>
      </c>
      <c r="G91" s="11" t="s">
        <v>22</v>
      </c>
      <c r="H91" s="11">
        <v>5.0</v>
      </c>
      <c r="I91" s="11">
        <v>5.0</v>
      </c>
      <c r="J91" s="11">
        <v>5.0</v>
      </c>
      <c r="K91" s="11">
        <v>5.0</v>
      </c>
      <c r="L91" s="11">
        <v>5.0</v>
      </c>
      <c r="M91" s="11">
        <v>5.0</v>
      </c>
      <c r="N91" s="11">
        <v>5.0</v>
      </c>
      <c r="O91" s="11">
        <v>5.0</v>
      </c>
      <c r="P91" s="11">
        <v>10.0</v>
      </c>
      <c r="Q91" s="11" t="s">
        <v>109</v>
      </c>
      <c r="R91" s="11" t="s">
        <v>110</v>
      </c>
      <c r="S91" s="13"/>
      <c r="T91" s="13"/>
      <c r="U91" s="13"/>
      <c r="V91" s="13"/>
      <c r="W91" s="13"/>
      <c r="X91" s="13"/>
    </row>
    <row r="92" ht="22.5" customHeight="1">
      <c r="A92" s="10">
        <v>46128.55261488426</v>
      </c>
      <c r="B92" s="11" t="s">
        <v>18</v>
      </c>
      <c r="C92" s="12">
        <v>46128.0</v>
      </c>
      <c r="D92" s="11" t="s">
        <v>23</v>
      </c>
      <c r="E92" s="11" t="s">
        <v>106</v>
      </c>
      <c r="F92" s="11" t="s">
        <v>21</v>
      </c>
      <c r="G92" s="11" t="s">
        <v>22</v>
      </c>
      <c r="H92" s="11">
        <v>5.0</v>
      </c>
      <c r="I92" s="11">
        <v>5.0</v>
      </c>
      <c r="J92" s="11">
        <v>5.0</v>
      </c>
      <c r="K92" s="11">
        <v>5.0</v>
      </c>
      <c r="L92" s="11">
        <v>5.0</v>
      </c>
      <c r="M92" s="11">
        <v>5.0</v>
      </c>
      <c r="N92" s="11">
        <v>5.0</v>
      </c>
      <c r="O92" s="11">
        <v>5.0</v>
      </c>
      <c r="P92" s="11">
        <v>10.0</v>
      </c>
      <c r="Q92" s="11" t="s">
        <v>111</v>
      </c>
      <c r="R92" s="14"/>
      <c r="S92" s="13"/>
      <c r="T92" s="13"/>
      <c r="U92" s="13"/>
      <c r="V92" s="13"/>
      <c r="W92" s="13"/>
      <c r="X92" s="13"/>
    </row>
    <row r="93" ht="22.5" customHeight="1">
      <c r="A93" s="10">
        <v>46135.59586417824</v>
      </c>
      <c r="B93" s="11" t="s">
        <v>18</v>
      </c>
      <c r="C93" s="12">
        <v>46135.0</v>
      </c>
      <c r="D93" s="11" t="s">
        <v>23</v>
      </c>
      <c r="E93" s="11" t="s">
        <v>112</v>
      </c>
      <c r="F93" s="11" t="s">
        <v>21</v>
      </c>
      <c r="G93" s="11" t="s">
        <v>22</v>
      </c>
      <c r="H93" s="11">
        <v>5.0</v>
      </c>
      <c r="I93" s="11">
        <v>5.0</v>
      </c>
      <c r="J93" s="11">
        <v>5.0</v>
      </c>
      <c r="K93" s="11">
        <v>5.0</v>
      </c>
      <c r="L93" s="11">
        <v>5.0</v>
      </c>
      <c r="M93" s="11">
        <v>5.0</v>
      </c>
      <c r="N93" s="11">
        <v>5.0</v>
      </c>
      <c r="O93" s="11">
        <v>5.0</v>
      </c>
      <c r="P93" s="11">
        <v>10.0</v>
      </c>
      <c r="Q93" s="14"/>
      <c r="R93" s="14"/>
      <c r="S93" s="13"/>
      <c r="T93" s="13"/>
      <c r="U93" s="13"/>
      <c r="V93" s="13"/>
      <c r="W93" s="13"/>
      <c r="X93" s="13"/>
    </row>
    <row r="94" ht="22.5" customHeight="1">
      <c r="A94" s="10">
        <v>46136.428888229166</v>
      </c>
      <c r="B94" s="11" t="s">
        <v>18</v>
      </c>
      <c r="C94" s="12">
        <v>46127.0</v>
      </c>
      <c r="D94" s="11" t="s">
        <v>23</v>
      </c>
      <c r="E94" s="14"/>
      <c r="F94" s="11" t="s">
        <v>21</v>
      </c>
      <c r="G94" s="11" t="s">
        <v>22</v>
      </c>
      <c r="H94" s="11">
        <v>5.0</v>
      </c>
      <c r="I94" s="11">
        <v>5.0</v>
      </c>
      <c r="J94" s="11">
        <v>5.0</v>
      </c>
      <c r="K94" s="11">
        <v>5.0</v>
      </c>
      <c r="L94" s="11">
        <v>5.0</v>
      </c>
      <c r="M94" s="11">
        <v>5.0</v>
      </c>
      <c r="N94" s="11">
        <v>5.0</v>
      </c>
      <c r="O94" s="11">
        <v>5.0</v>
      </c>
      <c r="P94" s="11">
        <v>10.0</v>
      </c>
      <c r="Q94" s="11" t="s">
        <v>113</v>
      </c>
      <c r="R94" s="14"/>
      <c r="S94" s="13"/>
      <c r="T94" s="13"/>
      <c r="U94" s="13"/>
      <c r="V94" s="13"/>
      <c r="W94" s="13"/>
      <c r="X94" s="13"/>
    </row>
    <row r="95" ht="22.5" customHeight="1">
      <c r="A95" s="10">
        <v>46141.65763405093</v>
      </c>
      <c r="B95" s="11" t="s">
        <v>18</v>
      </c>
      <c r="C95" s="12">
        <v>46141.0</v>
      </c>
      <c r="D95" s="11" t="s">
        <v>23</v>
      </c>
      <c r="E95" s="14"/>
      <c r="F95" s="11" t="s">
        <v>21</v>
      </c>
      <c r="G95" s="11" t="s">
        <v>22</v>
      </c>
      <c r="H95" s="11">
        <v>5.0</v>
      </c>
      <c r="I95" s="11">
        <v>5.0</v>
      </c>
      <c r="J95" s="11">
        <v>5.0</v>
      </c>
      <c r="K95" s="11">
        <v>5.0</v>
      </c>
      <c r="L95" s="11">
        <v>5.0</v>
      </c>
      <c r="M95" s="11">
        <v>5.0</v>
      </c>
      <c r="N95" s="11">
        <v>5.0</v>
      </c>
      <c r="O95" s="11">
        <v>5.0</v>
      </c>
      <c r="P95" s="11">
        <v>10.0</v>
      </c>
      <c r="Q95" s="14"/>
      <c r="R95" s="14"/>
      <c r="S95" s="13"/>
      <c r="T95" s="13"/>
      <c r="U95" s="13"/>
      <c r="V95" s="13"/>
      <c r="W95" s="13"/>
      <c r="X95" s="13"/>
    </row>
    <row r="96" ht="22.5" customHeight="1">
      <c r="A96" s="10">
        <v>46142.433731805555</v>
      </c>
      <c r="B96" s="11" t="s">
        <v>18</v>
      </c>
      <c r="C96" s="12">
        <v>46142.0</v>
      </c>
      <c r="D96" s="11" t="s">
        <v>23</v>
      </c>
      <c r="E96" s="11" t="s">
        <v>28</v>
      </c>
      <c r="F96" s="11" t="s">
        <v>21</v>
      </c>
      <c r="G96" s="11" t="s">
        <v>22</v>
      </c>
      <c r="H96" s="11">
        <v>5.0</v>
      </c>
      <c r="I96" s="11">
        <v>5.0</v>
      </c>
      <c r="J96" s="11">
        <v>5.0</v>
      </c>
      <c r="K96" s="11">
        <v>5.0</v>
      </c>
      <c r="L96" s="11">
        <v>5.0</v>
      </c>
      <c r="M96" s="11">
        <v>5.0</v>
      </c>
      <c r="N96" s="11">
        <v>5.0</v>
      </c>
      <c r="O96" s="11">
        <v>5.0</v>
      </c>
      <c r="P96" s="11">
        <v>10.0</v>
      </c>
      <c r="Q96" s="14"/>
      <c r="R96" s="14"/>
      <c r="S96" s="13"/>
      <c r="T96" s="13"/>
      <c r="U96" s="13"/>
      <c r="V96" s="13"/>
      <c r="W96" s="13"/>
      <c r="X96" s="13"/>
    </row>
    <row r="97" ht="22.5" customHeight="1">
      <c r="A97" s="10">
        <v>46142.43785578704</v>
      </c>
      <c r="B97" s="11" t="s">
        <v>18</v>
      </c>
      <c r="C97" s="12">
        <v>46142.0</v>
      </c>
      <c r="D97" s="11" t="s">
        <v>23</v>
      </c>
      <c r="E97" s="14"/>
      <c r="F97" s="11" t="s">
        <v>29</v>
      </c>
      <c r="G97" s="11" t="s">
        <v>22</v>
      </c>
      <c r="H97" s="11">
        <v>5.0</v>
      </c>
      <c r="I97" s="11">
        <v>5.0</v>
      </c>
      <c r="J97" s="11">
        <v>5.0</v>
      </c>
      <c r="K97" s="11">
        <v>5.0</v>
      </c>
      <c r="L97" s="11">
        <v>5.0</v>
      </c>
      <c r="M97" s="11">
        <v>5.0</v>
      </c>
      <c r="N97" s="11">
        <v>5.0</v>
      </c>
      <c r="O97" s="11">
        <v>5.0</v>
      </c>
      <c r="P97" s="11">
        <v>10.0</v>
      </c>
      <c r="Q97" s="11" t="s">
        <v>65</v>
      </c>
      <c r="R97" s="11" t="s">
        <v>65</v>
      </c>
      <c r="S97" s="13"/>
      <c r="T97" s="13"/>
      <c r="U97" s="13"/>
      <c r="V97" s="13"/>
      <c r="W97" s="13"/>
      <c r="X97" s="13"/>
    </row>
    <row r="98" ht="22.5" customHeight="1">
      <c r="A98" s="15">
        <v>46146.630736493054</v>
      </c>
      <c r="B98" s="16" t="s">
        <v>18</v>
      </c>
      <c r="C98" s="17">
        <v>39440.0</v>
      </c>
      <c r="D98" s="16" t="s">
        <v>23</v>
      </c>
      <c r="E98" s="18"/>
      <c r="F98" s="16" t="s">
        <v>21</v>
      </c>
      <c r="G98" s="16" t="s">
        <v>47</v>
      </c>
      <c r="H98" s="16">
        <v>4.0</v>
      </c>
      <c r="I98" s="16">
        <v>4.0</v>
      </c>
      <c r="J98" s="16">
        <v>4.0</v>
      </c>
      <c r="K98" s="16">
        <v>4.0</v>
      </c>
      <c r="L98" s="16">
        <v>3.0</v>
      </c>
      <c r="M98" s="16">
        <v>3.0</v>
      </c>
      <c r="N98" s="16">
        <v>3.0</v>
      </c>
      <c r="O98" s="16">
        <v>3.0</v>
      </c>
      <c r="P98" s="16">
        <v>3.0</v>
      </c>
      <c r="Q98" s="16" t="s">
        <v>114</v>
      </c>
      <c r="R98" s="16" t="s">
        <v>114</v>
      </c>
      <c r="S98" s="19"/>
      <c r="T98" s="19"/>
      <c r="U98" s="19"/>
      <c r="V98" s="19"/>
      <c r="W98" s="19"/>
      <c r="X98" s="19"/>
    </row>
    <row r="99" ht="22.5" customHeight="1">
      <c r="A99" s="10">
        <v>46146.815162314815</v>
      </c>
      <c r="B99" s="11" t="s">
        <v>18</v>
      </c>
      <c r="C99" s="12">
        <v>46146.0</v>
      </c>
      <c r="D99" s="11" t="s">
        <v>23</v>
      </c>
      <c r="E99" s="11" t="s">
        <v>62</v>
      </c>
      <c r="F99" s="11" t="s">
        <v>21</v>
      </c>
      <c r="G99" s="11" t="s">
        <v>22</v>
      </c>
      <c r="H99" s="11">
        <v>5.0</v>
      </c>
      <c r="I99" s="11">
        <v>5.0</v>
      </c>
      <c r="J99" s="11">
        <v>5.0</v>
      </c>
      <c r="K99" s="11">
        <v>5.0</v>
      </c>
      <c r="L99" s="11">
        <v>5.0</v>
      </c>
      <c r="M99" s="11">
        <v>5.0</v>
      </c>
      <c r="N99" s="11">
        <v>5.0</v>
      </c>
      <c r="O99" s="11">
        <v>5.0</v>
      </c>
      <c r="P99" s="11">
        <v>10.0</v>
      </c>
      <c r="Q99" s="14"/>
      <c r="R99" s="14"/>
      <c r="S99" s="13"/>
      <c r="T99" s="13"/>
      <c r="U99" s="13"/>
      <c r="V99" s="13"/>
      <c r="W99" s="13"/>
      <c r="X99" s="13"/>
    </row>
    <row r="100" ht="22.5" customHeight="1">
      <c r="A100" s="10">
        <v>46155.06172053241</v>
      </c>
      <c r="B100" s="11" t="s">
        <v>18</v>
      </c>
      <c r="C100" s="12">
        <v>46155.0</v>
      </c>
      <c r="D100" s="11" t="s">
        <v>23</v>
      </c>
      <c r="E100" s="11" t="s">
        <v>115</v>
      </c>
      <c r="F100" s="11" t="s">
        <v>21</v>
      </c>
      <c r="G100" s="11" t="s">
        <v>22</v>
      </c>
      <c r="H100" s="11">
        <v>5.0</v>
      </c>
      <c r="I100" s="11">
        <v>5.0</v>
      </c>
      <c r="J100" s="11">
        <v>5.0</v>
      </c>
      <c r="K100" s="11">
        <v>5.0</v>
      </c>
      <c r="L100" s="11">
        <v>5.0</v>
      </c>
      <c r="M100" s="11">
        <v>5.0</v>
      </c>
      <c r="N100" s="11">
        <v>5.0</v>
      </c>
      <c r="O100" s="11">
        <v>5.0</v>
      </c>
      <c r="P100" s="11">
        <v>10.0</v>
      </c>
      <c r="Q100" s="11" t="s">
        <v>116</v>
      </c>
      <c r="R100" s="11" t="s">
        <v>40</v>
      </c>
      <c r="S100" s="13"/>
      <c r="T100" s="13"/>
      <c r="U100" s="13"/>
      <c r="V100" s="13"/>
      <c r="W100" s="13"/>
      <c r="X100" s="13"/>
    </row>
    <row r="101" ht="22.5" customHeight="1">
      <c r="A101" s="10">
        <v>46163.50555509259</v>
      </c>
      <c r="B101" s="11" t="s">
        <v>18</v>
      </c>
      <c r="C101" s="12">
        <v>46163.0</v>
      </c>
      <c r="D101" s="11" t="s">
        <v>23</v>
      </c>
      <c r="E101" s="14"/>
      <c r="F101" s="11" t="s">
        <v>29</v>
      </c>
      <c r="G101" s="11" t="s">
        <v>22</v>
      </c>
      <c r="H101" s="11">
        <v>5.0</v>
      </c>
      <c r="I101" s="11">
        <v>5.0</v>
      </c>
      <c r="J101" s="11">
        <v>5.0</v>
      </c>
      <c r="K101" s="11">
        <v>5.0</v>
      </c>
      <c r="L101" s="11">
        <v>5.0</v>
      </c>
      <c r="M101" s="11">
        <v>5.0</v>
      </c>
      <c r="N101" s="11">
        <v>5.0</v>
      </c>
      <c r="O101" s="11">
        <v>5.0</v>
      </c>
      <c r="P101" s="11">
        <v>10.0</v>
      </c>
      <c r="Q101" s="11" t="s">
        <v>117</v>
      </c>
      <c r="R101" s="14"/>
      <c r="S101" s="13"/>
      <c r="T101" s="13"/>
      <c r="U101" s="13"/>
      <c r="V101" s="13"/>
      <c r="W101" s="13"/>
      <c r="X101" s="13"/>
    </row>
    <row r="102" ht="22.5" customHeight="1">
      <c r="A102" s="10">
        <v>46164.401399386574</v>
      </c>
      <c r="B102" s="11" t="s">
        <v>18</v>
      </c>
      <c r="C102" s="12">
        <v>46163.0</v>
      </c>
      <c r="D102" s="11" t="s">
        <v>23</v>
      </c>
      <c r="E102" s="14"/>
      <c r="F102" s="11" t="s">
        <v>21</v>
      </c>
      <c r="G102" s="11" t="s">
        <v>22</v>
      </c>
      <c r="H102" s="11">
        <v>5.0</v>
      </c>
      <c r="I102" s="11">
        <v>5.0</v>
      </c>
      <c r="J102" s="11">
        <v>5.0</v>
      </c>
      <c r="K102" s="11">
        <v>4.0</v>
      </c>
      <c r="L102" s="11">
        <v>4.0</v>
      </c>
      <c r="M102" s="11">
        <v>5.0</v>
      </c>
      <c r="N102" s="11">
        <v>5.0</v>
      </c>
      <c r="O102" s="11">
        <v>5.0</v>
      </c>
      <c r="P102" s="11">
        <v>10.0</v>
      </c>
      <c r="Q102" s="14"/>
      <c r="R102" s="14"/>
      <c r="S102" s="13"/>
      <c r="T102" s="13"/>
      <c r="U102" s="13"/>
      <c r="V102" s="13"/>
      <c r="W102" s="13"/>
      <c r="X102" s="13"/>
    </row>
    <row r="103" ht="22.5" customHeight="1">
      <c r="A103" s="15">
        <v>46192.68664901621</v>
      </c>
      <c r="B103" s="16" t="s">
        <v>18</v>
      </c>
      <c r="C103" s="17">
        <v>46191.0</v>
      </c>
      <c r="D103" s="16" t="s">
        <v>23</v>
      </c>
      <c r="E103" s="16" t="s">
        <v>52</v>
      </c>
      <c r="F103" s="16" t="s">
        <v>21</v>
      </c>
      <c r="G103" s="16" t="s">
        <v>47</v>
      </c>
      <c r="H103" s="16">
        <v>5.0</v>
      </c>
      <c r="I103" s="16">
        <v>4.0</v>
      </c>
      <c r="J103" s="16">
        <v>5.0</v>
      </c>
      <c r="K103" s="16">
        <v>5.0</v>
      </c>
      <c r="L103" s="16">
        <v>5.0</v>
      </c>
      <c r="M103" s="16">
        <v>5.0</v>
      </c>
      <c r="N103" s="16">
        <v>5.0</v>
      </c>
      <c r="O103" s="16">
        <v>4.0</v>
      </c>
      <c r="P103" s="16">
        <v>8.0</v>
      </c>
      <c r="Q103" s="18"/>
      <c r="R103" s="18"/>
      <c r="S103" s="19"/>
      <c r="T103" s="19"/>
      <c r="U103" s="19"/>
      <c r="V103" s="19"/>
      <c r="W103" s="19"/>
      <c r="X103" s="19"/>
    </row>
    <row r="104" ht="22.5" customHeight="1">
      <c r="A104" s="10">
        <v>46203.49827570602</v>
      </c>
      <c r="B104" s="11" t="s">
        <v>18</v>
      </c>
      <c r="C104" s="12">
        <v>46203.0</v>
      </c>
      <c r="D104" s="11" t="s">
        <v>23</v>
      </c>
      <c r="E104" s="11" t="s">
        <v>118</v>
      </c>
      <c r="F104" s="11" t="s">
        <v>21</v>
      </c>
      <c r="G104" s="11" t="s">
        <v>22</v>
      </c>
      <c r="H104" s="11">
        <v>5.0</v>
      </c>
      <c r="I104" s="11">
        <v>5.0</v>
      </c>
      <c r="J104" s="11">
        <v>5.0</v>
      </c>
      <c r="K104" s="11">
        <v>5.0</v>
      </c>
      <c r="L104" s="11">
        <v>5.0</v>
      </c>
      <c r="M104" s="11">
        <v>5.0</v>
      </c>
      <c r="N104" s="11">
        <v>5.0</v>
      </c>
      <c r="O104" s="14"/>
      <c r="P104" s="11">
        <v>9.0</v>
      </c>
      <c r="Q104" s="14"/>
      <c r="R104" s="14"/>
      <c r="S104" s="13"/>
      <c r="T104" s="13"/>
      <c r="U104" s="13"/>
      <c r="V104" s="13"/>
      <c r="W104" s="13"/>
      <c r="X104" s="13"/>
    </row>
    <row r="105" ht="22.5" customHeight="1">
      <c r="A105" s="10">
        <v>46210.95790217593</v>
      </c>
      <c r="B105" s="11" t="s">
        <v>18</v>
      </c>
      <c r="C105" s="12">
        <v>46209.0</v>
      </c>
      <c r="D105" s="11" t="s">
        <v>23</v>
      </c>
      <c r="E105" s="11" t="s">
        <v>119</v>
      </c>
      <c r="F105" s="11" t="s">
        <v>21</v>
      </c>
      <c r="G105" s="11" t="s">
        <v>22</v>
      </c>
      <c r="H105" s="11">
        <v>5.0</v>
      </c>
      <c r="I105" s="11">
        <v>5.0</v>
      </c>
      <c r="J105" s="11">
        <v>5.0</v>
      </c>
      <c r="K105" s="11">
        <v>5.0</v>
      </c>
      <c r="L105" s="11">
        <v>5.0</v>
      </c>
      <c r="M105" s="11">
        <v>5.0</v>
      </c>
      <c r="N105" s="11">
        <v>5.0</v>
      </c>
      <c r="O105" s="11">
        <v>5.0</v>
      </c>
      <c r="P105" s="11">
        <v>10.0</v>
      </c>
      <c r="Q105" s="11" t="s">
        <v>120</v>
      </c>
      <c r="R105" s="11" t="s">
        <v>40</v>
      </c>
      <c r="S105" s="13"/>
      <c r="T105" s="13"/>
      <c r="U105" s="13"/>
      <c r="V105" s="13"/>
      <c r="W105" s="13"/>
      <c r="X105" s="13"/>
    </row>
    <row r="106" ht="22.5" customHeight="1">
      <c r="A106" s="10">
        <v>46233.426020127314</v>
      </c>
      <c r="B106" s="11" t="s">
        <v>18</v>
      </c>
      <c r="C106" s="12">
        <v>46178.0</v>
      </c>
      <c r="D106" s="11" t="s">
        <v>23</v>
      </c>
      <c r="E106" s="14"/>
      <c r="F106" s="11" t="s">
        <v>21</v>
      </c>
      <c r="G106" s="11" t="s">
        <v>22</v>
      </c>
      <c r="H106" s="11">
        <v>5.0</v>
      </c>
      <c r="I106" s="11">
        <v>5.0</v>
      </c>
      <c r="J106" s="11">
        <v>5.0</v>
      </c>
      <c r="K106" s="11">
        <v>5.0</v>
      </c>
      <c r="L106" s="11">
        <v>2.0</v>
      </c>
      <c r="M106" s="11">
        <v>5.0</v>
      </c>
      <c r="N106" s="11">
        <v>5.0</v>
      </c>
      <c r="O106" s="11">
        <v>5.0</v>
      </c>
      <c r="P106" s="11">
        <v>10.0</v>
      </c>
      <c r="Q106" s="14"/>
      <c r="R106" s="14"/>
      <c r="S106" s="13"/>
      <c r="T106" s="13"/>
      <c r="U106" s="13"/>
      <c r="V106" s="13"/>
      <c r="W106" s="13"/>
      <c r="X106" s="13"/>
    </row>
    <row r="107" ht="22.5" customHeight="1">
      <c r="A107" s="10">
        <v>46233.426597893515</v>
      </c>
      <c r="B107" s="11" t="s">
        <v>18</v>
      </c>
      <c r="C107" s="12">
        <v>46178.0</v>
      </c>
      <c r="D107" s="11" t="s">
        <v>23</v>
      </c>
      <c r="E107" s="14"/>
      <c r="F107" s="11" t="s">
        <v>29</v>
      </c>
      <c r="G107" s="11" t="s">
        <v>22</v>
      </c>
      <c r="H107" s="11">
        <v>5.0</v>
      </c>
      <c r="I107" s="11">
        <v>5.0</v>
      </c>
      <c r="J107" s="11">
        <v>5.0</v>
      </c>
      <c r="K107" s="11">
        <v>5.0</v>
      </c>
      <c r="L107" s="11">
        <v>5.0</v>
      </c>
      <c r="M107" s="11">
        <v>5.0</v>
      </c>
      <c r="N107" s="11">
        <v>5.0</v>
      </c>
      <c r="O107" s="11">
        <v>5.0</v>
      </c>
      <c r="P107" s="11">
        <v>10.0</v>
      </c>
      <c r="Q107" s="14"/>
      <c r="R107" s="14"/>
      <c r="S107" s="13"/>
      <c r="T107" s="13"/>
      <c r="U107" s="13"/>
      <c r="V107" s="13"/>
      <c r="W107" s="13"/>
      <c r="X107" s="13"/>
    </row>
    <row r="108" ht="22.5" customHeight="1">
      <c r="A108" s="10">
        <v>46233.4271553125</v>
      </c>
      <c r="B108" s="11" t="s">
        <v>18</v>
      </c>
      <c r="C108" s="12">
        <v>46178.0</v>
      </c>
      <c r="D108" s="11" t="s">
        <v>23</v>
      </c>
      <c r="E108" s="14"/>
      <c r="F108" s="11" t="s">
        <v>21</v>
      </c>
      <c r="G108" s="11" t="s">
        <v>22</v>
      </c>
      <c r="H108" s="11">
        <v>4.0</v>
      </c>
      <c r="I108" s="11">
        <v>5.0</v>
      </c>
      <c r="J108" s="11">
        <v>5.0</v>
      </c>
      <c r="K108" s="11">
        <v>5.0</v>
      </c>
      <c r="L108" s="11">
        <v>5.0</v>
      </c>
      <c r="M108" s="11">
        <v>5.0</v>
      </c>
      <c r="N108" s="11">
        <v>5.0</v>
      </c>
      <c r="O108" s="11">
        <v>5.0</v>
      </c>
      <c r="P108" s="11">
        <v>10.0</v>
      </c>
      <c r="Q108" s="14"/>
      <c r="R108" s="14"/>
      <c r="S108" s="13"/>
      <c r="T108" s="13"/>
      <c r="U108" s="13"/>
      <c r="V108" s="13"/>
      <c r="W108" s="13"/>
      <c r="X108" s="13"/>
    </row>
    <row r="109" ht="22.5" customHeight="1">
      <c r="A109" s="10">
        <v>46233.427622546296</v>
      </c>
      <c r="B109" s="11" t="s">
        <v>18</v>
      </c>
      <c r="C109" s="12">
        <v>46178.0</v>
      </c>
      <c r="D109" s="11" t="s">
        <v>23</v>
      </c>
      <c r="E109" s="14"/>
      <c r="F109" s="11" t="s">
        <v>21</v>
      </c>
      <c r="G109" s="11" t="s">
        <v>22</v>
      </c>
      <c r="H109" s="11">
        <v>5.0</v>
      </c>
      <c r="I109" s="11">
        <v>5.0</v>
      </c>
      <c r="J109" s="11">
        <v>5.0</v>
      </c>
      <c r="K109" s="11">
        <v>5.0</v>
      </c>
      <c r="L109" s="11">
        <v>5.0</v>
      </c>
      <c r="M109" s="11">
        <v>5.0</v>
      </c>
      <c r="N109" s="11">
        <v>5.0</v>
      </c>
      <c r="O109" s="11">
        <v>5.0</v>
      </c>
      <c r="P109" s="11">
        <v>10.0</v>
      </c>
      <c r="Q109" s="14"/>
      <c r="R109" s="14"/>
      <c r="S109" s="13"/>
      <c r="T109" s="13"/>
      <c r="U109" s="13"/>
      <c r="V109" s="13"/>
      <c r="W109" s="13"/>
      <c r="X109" s="13"/>
    </row>
    <row r="110" ht="22.5" customHeight="1">
      <c r="A110" s="10">
        <v>46233.42808508102</v>
      </c>
      <c r="B110" s="11" t="s">
        <v>18</v>
      </c>
      <c r="C110" s="12">
        <v>46178.0</v>
      </c>
      <c r="D110" s="11" t="s">
        <v>23</v>
      </c>
      <c r="E110" s="14"/>
      <c r="F110" s="11" t="s">
        <v>21</v>
      </c>
      <c r="G110" s="11" t="s">
        <v>22</v>
      </c>
      <c r="H110" s="11">
        <v>5.0</v>
      </c>
      <c r="I110" s="11">
        <v>5.0</v>
      </c>
      <c r="J110" s="11">
        <v>5.0</v>
      </c>
      <c r="K110" s="11">
        <v>5.0</v>
      </c>
      <c r="L110" s="11">
        <v>5.0</v>
      </c>
      <c r="M110" s="11">
        <v>5.0</v>
      </c>
      <c r="N110" s="11">
        <v>5.0</v>
      </c>
      <c r="O110" s="14"/>
      <c r="P110" s="11">
        <v>10.0</v>
      </c>
      <c r="Q110" s="14"/>
      <c r="R110" s="14"/>
      <c r="S110" s="13"/>
      <c r="T110" s="13"/>
      <c r="U110" s="13"/>
      <c r="V110" s="13"/>
      <c r="W110" s="13"/>
      <c r="X110" s="13"/>
    </row>
    <row r="111" ht="22.5" customHeight="1">
      <c r="A111" s="10">
        <v>46233.42840334491</v>
      </c>
      <c r="B111" s="11" t="s">
        <v>18</v>
      </c>
      <c r="C111" s="12">
        <v>46178.0</v>
      </c>
      <c r="D111" s="11" t="s">
        <v>23</v>
      </c>
      <c r="E111" s="14"/>
      <c r="F111" s="11" t="s">
        <v>21</v>
      </c>
      <c r="G111" s="11" t="s">
        <v>22</v>
      </c>
      <c r="H111" s="11">
        <v>4.0</v>
      </c>
      <c r="I111" s="11">
        <v>4.0</v>
      </c>
      <c r="J111" s="11">
        <v>4.0</v>
      </c>
      <c r="K111" s="11">
        <v>4.0</v>
      </c>
      <c r="L111" s="11">
        <v>4.0</v>
      </c>
      <c r="M111" s="11">
        <v>4.0</v>
      </c>
      <c r="N111" s="11">
        <v>4.0</v>
      </c>
      <c r="O111" s="11">
        <v>4.0</v>
      </c>
      <c r="P111" s="11">
        <v>9.0</v>
      </c>
      <c r="Q111" s="14"/>
      <c r="R111" s="14"/>
      <c r="S111" s="13"/>
      <c r="T111" s="13"/>
      <c r="U111" s="13"/>
      <c r="V111" s="13"/>
      <c r="W111" s="13"/>
      <c r="X111" s="13"/>
    </row>
    <row r="112" ht="22.5" customHeight="1">
      <c r="A112" s="10">
        <v>46233.42872226852</v>
      </c>
      <c r="B112" s="11" t="s">
        <v>18</v>
      </c>
      <c r="C112" s="12">
        <v>46178.0</v>
      </c>
      <c r="D112" s="11" t="s">
        <v>23</v>
      </c>
      <c r="E112" s="14"/>
      <c r="F112" s="11" t="s">
        <v>21</v>
      </c>
      <c r="G112" s="11" t="s">
        <v>22</v>
      </c>
      <c r="H112" s="11">
        <v>5.0</v>
      </c>
      <c r="I112" s="11">
        <v>5.0</v>
      </c>
      <c r="J112" s="11">
        <v>5.0</v>
      </c>
      <c r="K112" s="11">
        <v>5.0</v>
      </c>
      <c r="L112" s="11">
        <v>5.0</v>
      </c>
      <c r="M112" s="11">
        <v>5.0</v>
      </c>
      <c r="N112" s="11">
        <v>5.0</v>
      </c>
      <c r="O112" s="11">
        <v>5.0</v>
      </c>
      <c r="P112" s="11">
        <v>10.0</v>
      </c>
      <c r="Q112" s="14"/>
      <c r="R112" s="14"/>
      <c r="S112" s="13"/>
      <c r="T112" s="13"/>
      <c r="U112" s="13"/>
      <c r="V112" s="13"/>
      <c r="W112" s="13"/>
      <c r="X112" s="13"/>
    </row>
    <row r="113" ht="22.5" customHeight="1">
      <c r="A113" s="10">
        <v>46233.42910630787</v>
      </c>
      <c r="B113" s="11" t="s">
        <v>18</v>
      </c>
      <c r="C113" s="12">
        <v>46178.0</v>
      </c>
      <c r="D113" s="11" t="s">
        <v>23</v>
      </c>
      <c r="E113" s="14"/>
      <c r="F113" s="11" t="s">
        <v>21</v>
      </c>
      <c r="G113" s="11" t="s">
        <v>22</v>
      </c>
      <c r="H113" s="11">
        <v>5.0</v>
      </c>
      <c r="I113" s="11">
        <v>5.0</v>
      </c>
      <c r="J113" s="11">
        <v>5.0</v>
      </c>
      <c r="K113" s="11">
        <v>5.0</v>
      </c>
      <c r="L113" s="11">
        <v>5.0</v>
      </c>
      <c r="M113" s="11">
        <v>5.0</v>
      </c>
      <c r="N113" s="11">
        <v>5.0</v>
      </c>
      <c r="O113" s="11">
        <v>5.0</v>
      </c>
      <c r="P113" s="11">
        <v>10.0</v>
      </c>
      <c r="Q113" s="14"/>
      <c r="R113" s="14"/>
      <c r="S113" s="13"/>
      <c r="T113" s="13"/>
      <c r="U113" s="13"/>
      <c r="V113" s="13"/>
      <c r="W113" s="13"/>
      <c r="X113" s="13"/>
    </row>
    <row r="114" ht="22.5" customHeight="1">
      <c r="A114" s="10">
        <v>46233.42942818287</v>
      </c>
      <c r="B114" s="11" t="s">
        <v>18</v>
      </c>
      <c r="C114" s="12">
        <v>46178.0</v>
      </c>
      <c r="D114" s="11" t="s">
        <v>23</v>
      </c>
      <c r="E114" s="14"/>
      <c r="F114" s="11" t="s">
        <v>21</v>
      </c>
      <c r="G114" s="11" t="s">
        <v>22</v>
      </c>
      <c r="H114" s="11">
        <v>5.0</v>
      </c>
      <c r="I114" s="11">
        <v>5.0</v>
      </c>
      <c r="J114" s="11">
        <v>5.0</v>
      </c>
      <c r="K114" s="11">
        <v>5.0</v>
      </c>
      <c r="L114" s="11">
        <v>5.0</v>
      </c>
      <c r="M114" s="11">
        <v>5.0</v>
      </c>
      <c r="N114" s="11">
        <v>5.0</v>
      </c>
      <c r="O114" s="11">
        <v>5.0</v>
      </c>
      <c r="P114" s="11">
        <v>10.0</v>
      </c>
      <c r="Q114" s="14"/>
      <c r="R114" s="14"/>
      <c r="S114" s="13"/>
      <c r="T114" s="13"/>
      <c r="U114" s="13"/>
      <c r="V114" s="13"/>
      <c r="W114" s="13"/>
      <c r="X114" s="13"/>
    </row>
    <row r="115" ht="22.5" customHeight="1">
      <c r="A115" s="10">
        <v>46233.43000891204</v>
      </c>
      <c r="B115" s="11" t="s">
        <v>18</v>
      </c>
      <c r="C115" s="12">
        <v>46178.0</v>
      </c>
      <c r="D115" s="11" t="s">
        <v>23</v>
      </c>
      <c r="E115" s="14"/>
      <c r="F115" s="11" t="s">
        <v>29</v>
      </c>
      <c r="G115" s="11" t="s">
        <v>22</v>
      </c>
      <c r="H115" s="11">
        <v>5.0</v>
      </c>
      <c r="I115" s="11">
        <v>5.0</v>
      </c>
      <c r="J115" s="11">
        <v>5.0</v>
      </c>
      <c r="K115" s="11">
        <v>5.0</v>
      </c>
      <c r="L115" s="11">
        <v>4.0</v>
      </c>
      <c r="M115" s="11">
        <v>4.0</v>
      </c>
      <c r="N115" s="11">
        <v>4.0</v>
      </c>
      <c r="O115" s="11">
        <v>5.0</v>
      </c>
      <c r="P115" s="11">
        <v>10.0</v>
      </c>
      <c r="Q115" s="14"/>
      <c r="R115" s="14"/>
      <c r="S115" s="13"/>
      <c r="T115" s="13"/>
      <c r="U115" s="13"/>
      <c r="V115" s="13"/>
      <c r="W115" s="13"/>
      <c r="X115" s="13"/>
    </row>
    <row r="116" ht="22.5" customHeight="1">
      <c r="A116" s="10">
        <v>46233.43033313657</v>
      </c>
      <c r="B116" s="11" t="s">
        <v>18</v>
      </c>
      <c r="C116" s="12">
        <v>46178.0</v>
      </c>
      <c r="D116" s="11" t="s">
        <v>23</v>
      </c>
      <c r="E116" s="14"/>
      <c r="F116" s="11" t="s">
        <v>21</v>
      </c>
      <c r="G116" s="11" t="s">
        <v>22</v>
      </c>
      <c r="H116" s="11">
        <v>5.0</v>
      </c>
      <c r="I116" s="11">
        <v>5.0</v>
      </c>
      <c r="J116" s="11">
        <v>5.0</v>
      </c>
      <c r="K116" s="11">
        <v>5.0</v>
      </c>
      <c r="L116" s="11">
        <v>5.0</v>
      </c>
      <c r="M116" s="11">
        <v>5.0</v>
      </c>
      <c r="N116" s="11">
        <v>5.0</v>
      </c>
      <c r="O116" s="11">
        <v>5.0</v>
      </c>
      <c r="P116" s="11">
        <v>10.0</v>
      </c>
      <c r="Q116" s="14"/>
      <c r="R116" s="14"/>
      <c r="S116" s="13"/>
      <c r="T116" s="13"/>
      <c r="U116" s="13"/>
      <c r="V116" s="13"/>
      <c r="W116" s="13"/>
      <c r="X116" s="13"/>
    </row>
    <row r="117" ht="22.5" customHeight="1">
      <c r="A117" s="10">
        <v>46233.430631446754</v>
      </c>
      <c r="B117" s="11" t="s">
        <v>18</v>
      </c>
      <c r="C117" s="12">
        <v>46178.0</v>
      </c>
      <c r="D117" s="11" t="s">
        <v>23</v>
      </c>
      <c r="E117" s="14"/>
      <c r="F117" s="11" t="s">
        <v>21</v>
      </c>
      <c r="G117" s="11" t="s">
        <v>22</v>
      </c>
      <c r="H117" s="11">
        <v>5.0</v>
      </c>
      <c r="I117" s="11">
        <v>5.0</v>
      </c>
      <c r="J117" s="11">
        <v>5.0</v>
      </c>
      <c r="K117" s="11">
        <v>5.0</v>
      </c>
      <c r="L117" s="11">
        <v>5.0</v>
      </c>
      <c r="M117" s="11">
        <v>5.0</v>
      </c>
      <c r="N117" s="11">
        <v>5.0</v>
      </c>
      <c r="O117" s="11">
        <v>5.0</v>
      </c>
      <c r="P117" s="11">
        <v>10.0</v>
      </c>
      <c r="Q117" s="14"/>
      <c r="R117" s="14"/>
      <c r="S117" s="13"/>
      <c r="T117" s="13"/>
      <c r="U117" s="13"/>
      <c r="V117" s="13"/>
      <c r="W117" s="13"/>
      <c r="X117" s="13"/>
    </row>
    <row r="118" ht="22.5" customHeight="1">
      <c r="A118" s="10">
        <v>46233.43203131945</v>
      </c>
      <c r="B118" s="11" t="s">
        <v>18</v>
      </c>
      <c r="C118" s="12">
        <v>46178.0</v>
      </c>
      <c r="D118" s="11" t="s">
        <v>23</v>
      </c>
      <c r="E118" s="14"/>
      <c r="F118" s="11" t="s">
        <v>21</v>
      </c>
      <c r="G118" s="11" t="s">
        <v>22</v>
      </c>
      <c r="H118" s="11">
        <v>5.0</v>
      </c>
      <c r="I118" s="11">
        <v>5.0</v>
      </c>
      <c r="J118" s="11">
        <v>5.0</v>
      </c>
      <c r="K118" s="11">
        <v>5.0</v>
      </c>
      <c r="L118" s="11">
        <v>5.0</v>
      </c>
      <c r="M118" s="11">
        <v>5.0</v>
      </c>
      <c r="N118" s="11">
        <v>5.0</v>
      </c>
      <c r="O118" s="11">
        <v>5.0</v>
      </c>
      <c r="P118" s="11">
        <v>10.0</v>
      </c>
      <c r="Q118" s="11" t="s">
        <v>121</v>
      </c>
      <c r="R118" s="14"/>
      <c r="S118" s="13"/>
      <c r="T118" s="13"/>
      <c r="U118" s="13"/>
      <c r="V118" s="13"/>
      <c r="W118" s="13"/>
      <c r="X118" s="13"/>
    </row>
    <row r="119" ht="22.5" customHeight="1">
      <c r="A119" s="10">
        <v>46233.43251346065</v>
      </c>
      <c r="B119" s="11" t="s">
        <v>18</v>
      </c>
      <c r="C119" s="12">
        <v>46178.0</v>
      </c>
      <c r="D119" s="11" t="s">
        <v>23</v>
      </c>
      <c r="E119" s="14"/>
      <c r="F119" s="11" t="s">
        <v>21</v>
      </c>
      <c r="G119" s="11" t="s">
        <v>122</v>
      </c>
      <c r="H119" s="11">
        <v>5.0</v>
      </c>
      <c r="I119" s="11">
        <v>5.0</v>
      </c>
      <c r="J119" s="11">
        <v>5.0</v>
      </c>
      <c r="K119" s="11">
        <v>5.0</v>
      </c>
      <c r="L119" s="11">
        <v>5.0</v>
      </c>
      <c r="M119" s="11">
        <v>5.0</v>
      </c>
      <c r="N119" s="11">
        <v>5.0</v>
      </c>
      <c r="O119" s="11">
        <v>5.0</v>
      </c>
      <c r="P119" s="11">
        <v>10.0</v>
      </c>
      <c r="Q119" s="14"/>
      <c r="R119" s="14"/>
      <c r="S119" s="13"/>
      <c r="T119" s="13"/>
      <c r="U119" s="13"/>
      <c r="V119" s="13"/>
      <c r="W119" s="13"/>
      <c r="X119" s="13"/>
    </row>
    <row r="120" ht="22.5" customHeight="1">
      <c r="A120" s="15">
        <v>46233.432920046296</v>
      </c>
      <c r="B120" s="16" t="s">
        <v>18</v>
      </c>
      <c r="C120" s="17">
        <v>46178.0</v>
      </c>
      <c r="D120" s="16" t="s">
        <v>23</v>
      </c>
      <c r="E120" s="18"/>
      <c r="F120" s="16" t="s">
        <v>29</v>
      </c>
      <c r="G120" s="16" t="s">
        <v>81</v>
      </c>
      <c r="H120" s="16">
        <v>5.0</v>
      </c>
      <c r="I120" s="16">
        <v>5.0</v>
      </c>
      <c r="J120" s="16">
        <v>5.0</v>
      </c>
      <c r="K120" s="16">
        <v>5.0</v>
      </c>
      <c r="L120" s="16">
        <v>5.0</v>
      </c>
      <c r="M120" s="16">
        <v>5.0</v>
      </c>
      <c r="N120" s="16">
        <v>5.0</v>
      </c>
      <c r="O120" s="16">
        <v>5.0</v>
      </c>
      <c r="P120" s="16">
        <v>10.0</v>
      </c>
      <c r="Q120" s="18"/>
      <c r="R120" s="18"/>
      <c r="S120" s="19"/>
      <c r="T120" s="19"/>
      <c r="U120" s="19"/>
      <c r="V120" s="19"/>
      <c r="W120" s="19"/>
      <c r="X120" s="19"/>
    </row>
    <row r="121" ht="22.5" customHeight="1">
      <c r="A121" s="10">
        <v>46233.433987488424</v>
      </c>
      <c r="B121" s="11" t="s">
        <v>18</v>
      </c>
      <c r="C121" s="12">
        <v>46178.0</v>
      </c>
      <c r="D121" s="11" t="s">
        <v>23</v>
      </c>
      <c r="E121" s="14"/>
      <c r="F121" s="11" t="s">
        <v>21</v>
      </c>
      <c r="G121" s="11" t="s">
        <v>22</v>
      </c>
      <c r="H121" s="11">
        <v>5.0</v>
      </c>
      <c r="I121" s="11">
        <v>5.0</v>
      </c>
      <c r="J121" s="11">
        <v>5.0</v>
      </c>
      <c r="K121" s="11">
        <v>5.0</v>
      </c>
      <c r="L121" s="11">
        <v>5.0</v>
      </c>
      <c r="M121" s="11">
        <v>5.0</v>
      </c>
      <c r="N121" s="11">
        <v>5.0</v>
      </c>
      <c r="O121" s="11">
        <v>5.0</v>
      </c>
      <c r="P121" s="11">
        <v>10.0</v>
      </c>
      <c r="Q121" s="11" t="s">
        <v>123</v>
      </c>
      <c r="R121" s="14"/>
      <c r="S121" s="13"/>
      <c r="T121" s="13"/>
      <c r="U121" s="13"/>
      <c r="V121" s="13"/>
      <c r="W121" s="13"/>
      <c r="X121" s="13"/>
    </row>
    <row r="122" ht="22.5" customHeight="1">
      <c r="A122" s="10">
        <v>46233.43448548611</v>
      </c>
      <c r="B122" s="11" t="s">
        <v>18</v>
      </c>
      <c r="C122" s="12">
        <v>46178.0</v>
      </c>
      <c r="D122" s="11" t="s">
        <v>23</v>
      </c>
      <c r="E122" s="14"/>
      <c r="F122" s="11" t="s">
        <v>21</v>
      </c>
      <c r="G122" s="11" t="s">
        <v>22</v>
      </c>
      <c r="H122" s="11">
        <v>5.0</v>
      </c>
      <c r="I122" s="11">
        <v>5.0</v>
      </c>
      <c r="J122" s="11">
        <v>5.0</v>
      </c>
      <c r="K122" s="11">
        <v>5.0</v>
      </c>
      <c r="L122" s="11">
        <v>5.0</v>
      </c>
      <c r="M122" s="11">
        <v>5.0</v>
      </c>
      <c r="N122" s="11">
        <v>5.0</v>
      </c>
      <c r="O122" s="11">
        <v>5.0</v>
      </c>
      <c r="P122" s="11">
        <v>10.0</v>
      </c>
      <c r="Q122" s="11" t="s">
        <v>124</v>
      </c>
      <c r="R122" s="14"/>
      <c r="S122" s="13"/>
      <c r="T122" s="13"/>
      <c r="U122" s="13"/>
      <c r="V122" s="13"/>
      <c r="W122" s="13"/>
      <c r="X122" s="13"/>
    </row>
    <row r="123" ht="22.5" customHeight="1">
      <c r="A123" s="10">
        <v>46233.434919155094</v>
      </c>
      <c r="B123" s="11" t="s">
        <v>18</v>
      </c>
      <c r="C123" s="12">
        <v>46178.0</v>
      </c>
      <c r="D123" s="11" t="s">
        <v>23</v>
      </c>
      <c r="E123" s="14"/>
      <c r="F123" s="11" t="s">
        <v>21</v>
      </c>
      <c r="G123" s="11" t="s">
        <v>22</v>
      </c>
      <c r="H123" s="11">
        <v>5.0</v>
      </c>
      <c r="I123" s="11">
        <v>5.0</v>
      </c>
      <c r="J123" s="11">
        <v>5.0</v>
      </c>
      <c r="K123" s="11">
        <v>5.0</v>
      </c>
      <c r="L123" s="11">
        <v>5.0</v>
      </c>
      <c r="M123" s="11">
        <v>5.0</v>
      </c>
      <c r="N123" s="11">
        <v>5.0</v>
      </c>
      <c r="O123" s="11">
        <v>5.0</v>
      </c>
      <c r="P123" s="11">
        <v>10.0</v>
      </c>
      <c r="Q123" s="14"/>
      <c r="R123" s="14"/>
      <c r="S123" s="13"/>
      <c r="T123" s="13"/>
      <c r="U123" s="13"/>
      <c r="V123" s="13"/>
      <c r="W123" s="13"/>
      <c r="X123" s="13"/>
    </row>
    <row r="124" ht="22.5" customHeight="1">
      <c r="A124" s="10">
        <v>46233.435346805556</v>
      </c>
      <c r="B124" s="11" t="s">
        <v>18</v>
      </c>
      <c r="C124" s="12">
        <v>46178.0</v>
      </c>
      <c r="D124" s="11" t="s">
        <v>23</v>
      </c>
      <c r="E124" s="14"/>
      <c r="F124" s="11" t="s">
        <v>21</v>
      </c>
      <c r="G124" s="11" t="s">
        <v>22</v>
      </c>
      <c r="H124" s="11">
        <v>5.0</v>
      </c>
      <c r="I124" s="11">
        <v>5.0</v>
      </c>
      <c r="J124" s="11">
        <v>5.0</v>
      </c>
      <c r="K124" s="11">
        <v>5.0</v>
      </c>
      <c r="L124" s="11">
        <v>5.0</v>
      </c>
      <c r="M124" s="11">
        <v>5.0</v>
      </c>
      <c r="N124" s="11">
        <v>5.0</v>
      </c>
      <c r="O124" s="11">
        <v>5.0</v>
      </c>
      <c r="P124" s="11">
        <v>10.0</v>
      </c>
      <c r="Q124" s="14"/>
      <c r="R124" s="14"/>
      <c r="S124" s="13"/>
      <c r="T124" s="13"/>
      <c r="U124" s="13"/>
      <c r="V124" s="13"/>
      <c r="W124" s="13"/>
      <c r="X124" s="13"/>
    </row>
    <row r="125" ht="22.5" customHeight="1">
      <c r="A125" s="10">
        <v>46233.43627883102</v>
      </c>
      <c r="B125" s="11" t="s">
        <v>18</v>
      </c>
      <c r="C125" s="12">
        <v>46178.0</v>
      </c>
      <c r="D125" s="11" t="s">
        <v>23</v>
      </c>
      <c r="E125" s="14"/>
      <c r="F125" s="11" t="s">
        <v>21</v>
      </c>
      <c r="G125" s="11" t="s">
        <v>22</v>
      </c>
      <c r="H125" s="11">
        <v>5.0</v>
      </c>
      <c r="I125" s="11">
        <v>5.0</v>
      </c>
      <c r="J125" s="11">
        <v>5.0</v>
      </c>
      <c r="K125" s="11">
        <v>5.0</v>
      </c>
      <c r="L125" s="11">
        <v>5.0</v>
      </c>
      <c r="M125" s="11">
        <v>5.0</v>
      </c>
      <c r="N125" s="11">
        <v>5.0</v>
      </c>
      <c r="O125" s="11">
        <v>5.0</v>
      </c>
      <c r="P125" s="11">
        <v>10.0</v>
      </c>
      <c r="Q125" s="11" t="s">
        <v>125</v>
      </c>
      <c r="R125" s="14"/>
      <c r="S125" s="13"/>
      <c r="T125" s="13"/>
      <c r="U125" s="13"/>
      <c r="V125" s="13"/>
      <c r="W125" s="13"/>
      <c r="X125" s="13"/>
    </row>
    <row r="126" ht="22.5" customHeight="1">
      <c r="A126" s="10">
        <v>46233.436919583335</v>
      </c>
      <c r="B126" s="11" t="s">
        <v>18</v>
      </c>
      <c r="C126" s="12">
        <v>46178.0</v>
      </c>
      <c r="D126" s="11" t="s">
        <v>23</v>
      </c>
      <c r="E126" s="14"/>
      <c r="F126" s="11" t="s">
        <v>21</v>
      </c>
      <c r="G126" s="11" t="s">
        <v>22</v>
      </c>
      <c r="H126" s="11">
        <v>5.0</v>
      </c>
      <c r="I126" s="11">
        <v>5.0</v>
      </c>
      <c r="J126" s="11">
        <v>5.0</v>
      </c>
      <c r="K126" s="11">
        <v>5.0</v>
      </c>
      <c r="L126" s="11">
        <v>5.0</v>
      </c>
      <c r="M126" s="11">
        <v>5.0</v>
      </c>
      <c r="N126" s="11">
        <v>5.0</v>
      </c>
      <c r="O126" s="11">
        <v>5.0</v>
      </c>
      <c r="P126" s="11">
        <v>10.0</v>
      </c>
      <c r="Q126" s="11" t="s">
        <v>126</v>
      </c>
      <c r="R126" s="14"/>
      <c r="S126" s="13"/>
      <c r="T126" s="13"/>
      <c r="U126" s="13"/>
      <c r="V126" s="13"/>
      <c r="W126" s="13"/>
      <c r="X126" s="13"/>
    </row>
    <row r="127" ht="22.5" customHeight="1">
      <c r="A127" s="10">
        <v>46233.43733446759</v>
      </c>
      <c r="B127" s="11" t="s">
        <v>18</v>
      </c>
      <c r="C127" s="12">
        <v>46178.0</v>
      </c>
      <c r="D127" s="11" t="s">
        <v>23</v>
      </c>
      <c r="E127" s="14"/>
      <c r="F127" s="11" t="s">
        <v>21</v>
      </c>
      <c r="G127" s="11" t="s">
        <v>22</v>
      </c>
      <c r="H127" s="11">
        <v>5.0</v>
      </c>
      <c r="I127" s="11">
        <v>5.0</v>
      </c>
      <c r="J127" s="11">
        <v>5.0</v>
      </c>
      <c r="K127" s="11">
        <v>5.0</v>
      </c>
      <c r="L127" s="11">
        <v>5.0</v>
      </c>
      <c r="M127" s="11">
        <v>5.0</v>
      </c>
      <c r="N127" s="11">
        <v>5.0</v>
      </c>
      <c r="O127" s="11">
        <v>5.0</v>
      </c>
      <c r="P127" s="11">
        <v>10.0</v>
      </c>
      <c r="Q127" s="11" t="s">
        <v>127</v>
      </c>
      <c r="R127" s="14"/>
      <c r="S127" s="13"/>
      <c r="T127" s="13"/>
      <c r="U127" s="13"/>
      <c r="V127" s="13"/>
      <c r="W127" s="13"/>
      <c r="X127" s="13"/>
    </row>
    <row r="128" ht="22.5" customHeight="1">
      <c r="A128" s="10">
        <v>46233.437627141204</v>
      </c>
      <c r="B128" s="11" t="s">
        <v>18</v>
      </c>
      <c r="C128" s="12">
        <v>46178.0</v>
      </c>
      <c r="D128" s="11" t="s">
        <v>23</v>
      </c>
      <c r="E128" s="14"/>
      <c r="F128" s="11" t="s">
        <v>29</v>
      </c>
      <c r="G128" s="11" t="s">
        <v>22</v>
      </c>
      <c r="H128" s="11">
        <v>5.0</v>
      </c>
      <c r="I128" s="11">
        <v>5.0</v>
      </c>
      <c r="J128" s="11">
        <v>5.0</v>
      </c>
      <c r="K128" s="11">
        <v>5.0</v>
      </c>
      <c r="L128" s="11">
        <v>5.0</v>
      </c>
      <c r="M128" s="11">
        <v>5.0</v>
      </c>
      <c r="N128" s="11">
        <v>5.0</v>
      </c>
      <c r="O128" s="11">
        <v>5.0</v>
      </c>
      <c r="P128" s="11">
        <v>10.0</v>
      </c>
      <c r="Q128" s="14"/>
      <c r="R128" s="14"/>
      <c r="S128" s="13"/>
      <c r="T128" s="13"/>
      <c r="U128" s="13"/>
      <c r="V128" s="13"/>
      <c r="W128" s="13"/>
      <c r="X128" s="13"/>
    </row>
    <row r="129" ht="22.5" customHeight="1">
      <c r="A129" s="10">
        <v>46233.43794866899</v>
      </c>
      <c r="B129" s="11" t="s">
        <v>18</v>
      </c>
      <c r="C129" s="12">
        <v>46178.0</v>
      </c>
      <c r="D129" s="11" t="s">
        <v>23</v>
      </c>
      <c r="E129" s="14"/>
      <c r="F129" s="11" t="s">
        <v>29</v>
      </c>
      <c r="G129" s="11" t="s">
        <v>22</v>
      </c>
      <c r="H129" s="11">
        <v>5.0</v>
      </c>
      <c r="I129" s="11">
        <v>5.0</v>
      </c>
      <c r="J129" s="11">
        <v>5.0</v>
      </c>
      <c r="K129" s="11">
        <v>5.0</v>
      </c>
      <c r="L129" s="11">
        <v>5.0</v>
      </c>
      <c r="M129" s="11">
        <v>5.0</v>
      </c>
      <c r="N129" s="11">
        <v>5.0</v>
      </c>
      <c r="O129" s="11">
        <v>5.0</v>
      </c>
      <c r="P129" s="11">
        <v>10.0</v>
      </c>
      <c r="Q129" s="14"/>
      <c r="R129" s="14"/>
      <c r="S129" s="13"/>
      <c r="T129" s="13"/>
      <c r="U129" s="13"/>
      <c r="V129" s="13"/>
      <c r="W129" s="13"/>
      <c r="X129" s="13"/>
    </row>
    <row r="130" ht="22.5" customHeight="1">
      <c r="A130" s="10">
        <v>46233.43823597222</v>
      </c>
      <c r="B130" s="11" t="s">
        <v>18</v>
      </c>
      <c r="C130" s="12">
        <v>46178.0</v>
      </c>
      <c r="D130" s="11" t="s">
        <v>23</v>
      </c>
      <c r="E130" s="14"/>
      <c r="F130" s="11" t="s">
        <v>29</v>
      </c>
      <c r="G130" s="11" t="s">
        <v>22</v>
      </c>
      <c r="H130" s="11">
        <v>5.0</v>
      </c>
      <c r="I130" s="11">
        <v>5.0</v>
      </c>
      <c r="J130" s="11">
        <v>5.0</v>
      </c>
      <c r="K130" s="11">
        <v>5.0</v>
      </c>
      <c r="L130" s="11">
        <v>5.0</v>
      </c>
      <c r="M130" s="11">
        <v>5.0</v>
      </c>
      <c r="N130" s="11">
        <v>5.0</v>
      </c>
      <c r="O130" s="11">
        <v>5.0</v>
      </c>
      <c r="P130" s="11">
        <v>10.0</v>
      </c>
      <c r="Q130" s="14"/>
      <c r="R130" s="14"/>
      <c r="S130" s="13"/>
      <c r="T130" s="13"/>
      <c r="U130" s="13"/>
      <c r="V130" s="13"/>
      <c r="W130" s="13"/>
      <c r="X130" s="13"/>
    </row>
    <row r="131" ht="22.5" customHeight="1">
      <c r="A131" s="10">
        <v>46233.43872456018</v>
      </c>
      <c r="B131" s="11" t="s">
        <v>18</v>
      </c>
      <c r="C131" s="12">
        <v>46115.0</v>
      </c>
      <c r="D131" s="11" t="s">
        <v>23</v>
      </c>
      <c r="E131" s="14"/>
      <c r="F131" s="11" t="s">
        <v>21</v>
      </c>
      <c r="G131" s="11" t="s">
        <v>22</v>
      </c>
      <c r="H131" s="11">
        <v>5.0</v>
      </c>
      <c r="I131" s="11">
        <v>5.0</v>
      </c>
      <c r="J131" s="11">
        <v>5.0</v>
      </c>
      <c r="K131" s="11">
        <v>5.0</v>
      </c>
      <c r="L131" s="11">
        <v>5.0</v>
      </c>
      <c r="M131" s="11">
        <v>5.0</v>
      </c>
      <c r="N131" s="11">
        <v>5.0</v>
      </c>
      <c r="O131" s="11">
        <v>5.0</v>
      </c>
      <c r="P131" s="11">
        <v>10.0</v>
      </c>
      <c r="Q131" s="14"/>
      <c r="R131" s="14"/>
      <c r="S131" s="13"/>
      <c r="T131" s="13"/>
      <c r="U131" s="13"/>
      <c r="V131" s="13"/>
      <c r="W131" s="13"/>
      <c r="X131" s="13"/>
    </row>
    <row r="132" ht="22.5" customHeight="1">
      <c r="A132" s="10">
        <v>46233.43951079861</v>
      </c>
      <c r="B132" s="11" t="s">
        <v>18</v>
      </c>
      <c r="C132" s="12">
        <v>46115.0</v>
      </c>
      <c r="D132" s="11" t="s">
        <v>23</v>
      </c>
      <c r="E132" s="11" t="s">
        <v>128</v>
      </c>
      <c r="F132" s="11" t="s">
        <v>29</v>
      </c>
      <c r="G132" s="11" t="s">
        <v>22</v>
      </c>
      <c r="H132" s="11">
        <v>5.0</v>
      </c>
      <c r="I132" s="11">
        <v>5.0</v>
      </c>
      <c r="J132" s="11">
        <v>5.0</v>
      </c>
      <c r="K132" s="11">
        <v>5.0</v>
      </c>
      <c r="L132" s="11">
        <v>5.0</v>
      </c>
      <c r="M132" s="11">
        <v>5.0</v>
      </c>
      <c r="N132" s="11">
        <v>5.0</v>
      </c>
      <c r="O132" s="11">
        <v>5.0</v>
      </c>
      <c r="P132" s="11">
        <v>10.0</v>
      </c>
      <c r="Q132" s="11" t="s">
        <v>129</v>
      </c>
      <c r="R132" s="14"/>
      <c r="S132" s="13"/>
      <c r="T132" s="13"/>
      <c r="U132" s="13"/>
      <c r="V132" s="13"/>
      <c r="W132" s="13"/>
      <c r="X132" s="13"/>
    </row>
    <row r="133" ht="22.5" customHeight="1">
      <c r="A133" s="15">
        <v>46233.44025417824</v>
      </c>
      <c r="B133" s="16" t="s">
        <v>18</v>
      </c>
      <c r="C133" s="17">
        <v>46115.0</v>
      </c>
      <c r="D133" s="16" t="s">
        <v>23</v>
      </c>
      <c r="E133" s="18"/>
      <c r="F133" s="16" t="s">
        <v>130</v>
      </c>
      <c r="G133" s="16" t="s">
        <v>81</v>
      </c>
      <c r="H133" s="16">
        <v>5.0</v>
      </c>
      <c r="I133" s="16">
        <v>4.0</v>
      </c>
      <c r="J133" s="16">
        <v>4.0</v>
      </c>
      <c r="K133" s="16">
        <v>5.0</v>
      </c>
      <c r="L133" s="16">
        <v>5.0</v>
      </c>
      <c r="M133" s="16">
        <v>2.0</v>
      </c>
      <c r="N133" s="16">
        <v>4.0</v>
      </c>
      <c r="O133" s="16">
        <v>5.0</v>
      </c>
      <c r="P133" s="16">
        <v>8.0</v>
      </c>
      <c r="Q133" s="18"/>
      <c r="R133" s="18"/>
      <c r="S133" s="19"/>
      <c r="T133" s="19"/>
      <c r="U133" s="19"/>
      <c r="V133" s="19"/>
      <c r="W133" s="19"/>
      <c r="X133" s="19"/>
    </row>
    <row r="134" ht="22.5" customHeight="1">
      <c r="A134" s="15">
        <v>46233.440806099534</v>
      </c>
      <c r="B134" s="16" t="s">
        <v>18</v>
      </c>
      <c r="C134" s="17">
        <v>46115.0</v>
      </c>
      <c r="D134" s="16" t="s">
        <v>23</v>
      </c>
      <c r="E134" s="18"/>
      <c r="F134" s="16" t="s">
        <v>130</v>
      </c>
      <c r="G134" s="16" t="s">
        <v>81</v>
      </c>
      <c r="H134" s="16">
        <v>4.0</v>
      </c>
      <c r="I134" s="16">
        <v>5.0</v>
      </c>
      <c r="J134" s="16">
        <v>5.0</v>
      </c>
      <c r="K134" s="16">
        <v>5.0</v>
      </c>
      <c r="L134" s="16">
        <v>5.0</v>
      </c>
      <c r="M134" s="16">
        <v>5.0</v>
      </c>
      <c r="N134" s="16">
        <v>4.0</v>
      </c>
      <c r="O134" s="16">
        <v>4.0</v>
      </c>
      <c r="P134" s="16">
        <v>10.0</v>
      </c>
      <c r="Q134" s="18"/>
      <c r="R134" s="18"/>
      <c r="S134" s="19"/>
      <c r="T134" s="19"/>
      <c r="U134" s="19"/>
      <c r="V134" s="19"/>
      <c r="W134" s="19"/>
      <c r="X134" s="19"/>
    </row>
    <row r="135" ht="22.5" customHeight="1">
      <c r="A135" s="15">
        <v>46233.441293958334</v>
      </c>
      <c r="B135" s="16" t="s">
        <v>18</v>
      </c>
      <c r="C135" s="17">
        <v>46084.0</v>
      </c>
      <c r="D135" s="16" t="s">
        <v>23</v>
      </c>
      <c r="E135" s="18"/>
      <c r="F135" s="16" t="s">
        <v>21</v>
      </c>
      <c r="G135" s="16" t="s">
        <v>47</v>
      </c>
      <c r="H135" s="16">
        <v>5.0</v>
      </c>
      <c r="I135" s="16">
        <v>5.0</v>
      </c>
      <c r="J135" s="16">
        <v>5.0</v>
      </c>
      <c r="K135" s="16">
        <v>5.0</v>
      </c>
      <c r="L135" s="16">
        <v>1.0</v>
      </c>
      <c r="M135" s="16">
        <v>5.0</v>
      </c>
      <c r="N135" s="16">
        <v>5.0</v>
      </c>
      <c r="O135" s="16">
        <v>5.0</v>
      </c>
      <c r="P135" s="16">
        <v>10.0</v>
      </c>
      <c r="Q135" s="18"/>
      <c r="R135" s="18"/>
      <c r="S135" s="19"/>
      <c r="T135" s="19"/>
      <c r="U135" s="19"/>
      <c r="V135" s="19"/>
      <c r="W135" s="19"/>
      <c r="X135" s="19"/>
    </row>
    <row r="136" ht="22.5" customHeight="1">
      <c r="A136" s="15">
        <v>46233.44305761574</v>
      </c>
      <c r="B136" s="16" t="s">
        <v>18</v>
      </c>
      <c r="C136" s="17">
        <v>46084.0</v>
      </c>
      <c r="D136" s="16" t="s">
        <v>23</v>
      </c>
      <c r="E136" s="18"/>
      <c r="F136" s="16" t="s">
        <v>21</v>
      </c>
      <c r="G136" s="16" t="s">
        <v>81</v>
      </c>
      <c r="H136" s="16">
        <v>3.0</v>
      </c>
      <c r="I136" s="16">
        <v>3.0</v>
      </c>
      <c r="J136" s="16">
        <v>1.0</v>
      </c>
      <c r="K136" s="16">
        <v>1.0</v>
      </c>
      <c r="L136" s="16">
        <v>1.0</v>
      </c>
      <c r="M136" s="16">
        <v>1.0</v>
      </c>
      <c r="N136" s="16">
        <v>1.0</v>
      </c>
      <c r="O136" s="16">
        <v>1.0</v>
      </c>
      <c r="P136" s="16">
        <v>5.0</v>
      </c>
      <c r="Q136" s="18"/>
      <c r="R136" s="18"/>
      <c r="S136" s="19"/>
      <c r="T136" s="19"/>
      <c r="U136" s="19"/>
      <c r="V136" s="19"/>
      <c r="W136" s="19"/>
      <c r="X136" s="19"/>
    </row>
    <row r="137" ht="22.5" customHeight="1">
      <c r="A137" s="10">
        <v>46233.44363429398</v>
      </c>
      <c r="B137" s="11" t="s">
        <v>18</v>
      </c>
      <c r="C137" s="12">
        <v>46084.0</v>
      </c>
      <c r="D137" s="11" t="s">
        <v>23</v>
      </c>
      <c r="E137" s="14"/>
      <c r="F137" s="11" t="s">
        <v>21</v>
      </c>
      <c r="G137" s="11" t="s">
        <v>22</v>
      </c>
      <c r="H137" s="11">
        <v>4.0</v>
      </c>
      <c r="I137" s="11">
        <v>4.0</v>
      </c>
      <c r="J137" s="11">
        <v>4.0</v>
      </c>
      <c r="K137" s="11">
        <v>5.0</v>
      </c>
      <c r="L137" s="11">
        <v>4.0</v>
      </c>
      <c r="M137" s="11">
        <v>5.0</v>
      </c>
      <c r="N137" s="11">
        <v>5.0</v>
      </c>
      <c r="O137" s="11">
        <v>5.0</v>
      </c>
      <c r="P137" s="11">
        <v>10.0</v>
      </c>
      <c r="Q137" s="14"/>
      <c r="R137" s="14"/>
      <c r="S137" s="13"/>
      <c r="T137" s="13"/>
      <c r="U137" s="13"/>
      <c r="V137" s="13"/>
      <c r="W137" s="13"/>
      <c r="X137" s="13"/>
    </row>
    <row r="138" ht="22.5" customHeight="1">
      <c r="A138" s="10">
        <v>46233.44408865741</v>
      </c>
      <c r="B138" s="11" t="s">
        <v>18</v>
      </c>
      <c r="C138" s="12">
        <v>46084.0</v>
      </c>
      <c r="D138" s="11" t="s">
        <v>23</v>
      </c>
      <c r="E138" s="14"/>
      <c r="F138" s="11" t="s">
        <v>21</v>
      </c>
      <c r="G138" s="11" t="s">
        <v>22</v>
      </c>
      <c r="H138" s="11">
        <v>5.0</v>
      </c>
      <c r="I138" s="11">
        <v>5.0</v>
      </c>
      <c r="J138" s="11">
        <v>5.0</v>
      </c>
      <c r="K138" s="11">
        <v>5.0</v>
      </c>
      <c r="L138" s="11">
        <v>5.0</v>
      </c>
      <c r="M138" s="11">
        <v>5.0</v>
      </c>
      <c r="N138" s="11">
        <v>5.0</v>
      </c>
      <c r="O138" s="11">
        <v>5.0</v>
      </c>
      <c r="P138" s="11">
        <v>10.0</v>
      </c>
      <c r="Q138" s="14"/>
      <c r="R138" s="14"/>
      <c r="S138" s="13"/>
      <c r="T138" s="13"/>
      <c r="U138" s="13"/>
      <c r="V138" s="13"/>
      <c r="W138" s="13"/>
      <c r="X138" s="13"/>
    </row>
    <row r="139" ht="22.5" customHeight="1">
      <c r="A139" s="10">
        <v>46233.44458826389</v>
      </c>
      <c r="B139" s="11" t="s">
        <v>18</v>
      </c>
      <c r="C139" s="12">
        <v>46084.0</v>
      </c>
      <c r="D139" s="11" t="s">
        <v>23</v>
      </c>
      <c r="E139" s="14"/>
      <c r="F139" s="11" t="s">
        <v>21</v>
      </c>
      <c r="G139" s="11" t="s">
        <v>22</v>
      </c>
      <c r="H139" s="11">
        <v>4.0</v>
      </c>
      <c r="I139" s="11">
        <v>5.0</v>
      </c>
      <c r="J139" s="11">
        <v>5.0</v>
      </c>
      <c r="K139" s="11">
        <v>5.0</v>
      </c>
      <c r="L139" s="11">
        <v>4.0</v>
      </c>
      <c r="M139" s="11">
        <v>5.0</v>
      </c>
      <c r="N139" s="11">
        <v>5.0</v>
      </c>
      <c r="O139" s="11">
        <v>5.0</v>
      </c>
      <c r="P139" s="11">
        <v>10.0</v>
      </c>
      <c r="Q139" s="14"/>
      <c r="R139" s="14"/>
      <c r="S139" s="13"/>
      <c r="T139" s="13"/>
      <c r="U139" s="13"/>
      <c r="V139" s="13"/>
      <c r="W139" s="13"/>
      <c r="X139" s="13"/>
    </row>
    <row r="140" ht="22.5" customHeight="1">
      <c r="A140" s="10">
        <v>46233.445100798606</v>
      </c>
      <c r="B140" s="11" t="s">
        <v>18</v>
      </c>
      <c r="C140" s="12">
        <v>46208.0</v>
      </c>
      <c r="D140" s="11" t="s">
        <v>23</v>
      </c>
      <c r="E140" s="14"/>
      <c r="F140" s="11" t="s">
        <v>21</v>
      </c>
      <c r="G140" s="11" t="s">
        <v>22</v>
      </c>
      <c r="H140" s="11">
        <v>5.0</v>
      </c>
      <c r="I140" s="11">
        <v>5.0</v>
      </c>
      <c r="J140" s="11">
        <v>5.0</v>
      </c>
      <c r="K140" s="11">
        <v>5.0</v>
      </c>
      <c r="L140" s="11">
        <v>5.0</v>
      </c>
      <c r="M140" s="11">
        <v>5.0</v>
      </c>
      <c r="N140" s="11">
        <v>5.0</v>
      </c>
      <c r="O140" s="11">
        <v>5.0</v>
      </c>
      <c r="P140" s="11">
        <v>10.0</v>
      </c>
      <c r="Q140" s="14"/>
      <c r="R140" s="14"/>
      <c r="S140" s="13"/>
      <c r="T140" s="13"/>
      <c r="U140" s="13"/>
      <c r="V140" s="13"/>
      <c r="W140" s="13"/>
      <c r="X140" s="13"/>
    </row>
    <row r="141" ht="22.5" customHeight="1">
      <c r="A141" s="10">
        <v>46233.445718981486</v>
      </c>
      <c r="B141" s="11" t="s">
        <v>18</v>
      </c>
      <c r="C141" s="12">
        <v>46208.0</v>
      </c>
      <c r="D141" s="11" t="s">
        <v>23</v>
      </c>
      <c r="E141" s="14"/>
      <c r="F141" s="11" t="s">
        <v>21</v>
      </c>
      <c r="G141" s="11" t="s">
        <v>22</v>
      </c>
      <c r="H141" s="11">
        <v>5.0</v>
      </c>
      <c r="I141" s="11">
        <v>5.0</v>
      </c>
      <c r="J141" s="11">
        <v>5.0</v>
      </c>
      <c r="K141" s="11">
        <v>5.0</v>
      </c>
      <c r="L141" s="11">
        <v>5.0</v>
      </c>
      <c r="M141" s="11">
        <v>5.0</v>
      </c>
      <c r="N141" s="11">
        <v>5.0</v>
      </c>
      <c r="O141" s="11">
        <v>5.0</v>
      </c>
      <c r="P141" s="11">
        <v>10.0</v>
      </c>
      <c r="Q141" s="14"/>
      <c r="R141" s="14"/>
      <c r="S141" s="13"/>
      <c r="T141" s="13"/>
      <c r="U141" s="13"/>
      <c r="V141" s="13"/>
      <c r="W141" s="13"/>
      <c r="X141" s="13"/>
    </row>
    <row r="142" ht="22.5" customHeight="1">
      <c r="A142" s="10">
        <v>46233.44611320602</v>
      </c>
      <c r="B142" s="11" t="s">
        <v>18</v>
      </c>
      <c r="C142" s="12">
        <v>46208.0</v>
      </c>
      <c r="D142" s="11" t="s">
        <v>23</v>
      </c>
      <c r="E142" s="14"/>
      <c r="F142" s="11" t="s">
        <v>21</v>
      </c>
      <c r="G142" s="11" t="s">
        <v>22</v>
      </c>
      <c r="H142" s="11">
        <v>5.0</v>
      </c>
      <c r="I142" s="11">
        <v>5.0</v>
      </c>
      <c r="J142" s="11">
        <v>5.0</v>
      </c>
      <c r="K142" s="11">
        <v>5.0</v>
      </c>
      <c r="L142" s="11">
        <v>5.0</v>
      </c>
      <c r="M142" s="11">
        <v>5.0</v>
      </c>
      <c r="N142" s="11">
        <v>5.0</v>
      </c>
      <c r="O142" s="11">
        <v>5.0</v>
      </c>
      <c r="P142" s="11">
        <v>10.0</v>
      </c>
      <c r="Q142" s="14"/>
      <c r="R142" s="14"/>
      <c r="S142" s="13"/>
      <c r="T142" s="13"/>
      <c r="U142" s="13"/>
      <c r="V142" s="13"/>
      <c r="W142" s="13"/>
      <c r="X142" s="13"/>
    </row>
    <row r="143" ht="22.5" customHeight="1">
      <c r="A143" s="10">
        <v>46233.44678658565</v>
      </c>
      <c r="B143" s="11" t="s">
        <v>18</v>
      </c>
      <c r="C143" s="12">
        <v>46208.0</v>
      </c>
      <c r="D143" s="11" t="s">
        <v>23</v>
      </c>
      <c r="E143" s="14"/>
      <c r="F143" s="11" t="s">
        <v>21</v>
      </c>
      <c r="G143" s="11" t="s">
        <v>22</v>
      </c>
      <c r="H143" s="11">
        <v>5.0</v>
      </c>
      <c r="I143" s="11">
        <v>5.0</v>
      </c>
      <c r="J143" s="11">
        <v>5.0</v>
      </c>
      <c r="K143" s="11">
        <v>5.0</v>
      </c>
      <c r="L143" s="11">
        <v>5.0</v>
      </c>
      <c r="M143" s="11">
        <v>5.0</v>
      </c>
      <c r="N143" s="11">
        <v>5.0</v>
      </c>
      <c r="O143" s="11">
        <v>5.0</v>
      </c>
      <c r="P143" s="11">
        <v>9.0</v>
      </c>
      <c r="Q143" s="11" t="s">
        <v>131</v>
      </c>
      <c r="R143" s="14"/>
      <c r="S143" s="13"/>
      <c r="T143" s="13"/>
      <c r="U143" s="13"/>
      <c r="V143" s="13"/>
      <c r="W143" s="13"/>
      <c r="X143" s="13"/>
    </row>
    <row r="144" ht="22.5" customHeight="1">
      <c r="A144" s="10">
        <v>46233.44716701389</v>
      </c>
      <c r="B144" s="11" t="s">
        <v>18</v>
      </c>
      <c r="C144" s="12">
        <v>46208.0</v>
      </c>
      <c r="D144" s="11" t="s">
        <v>23</v>
      </c>
      <c r="E144" s="14"/>
      <c r="F144" s="11" t="s">
        <v>21</v>
      </c>
      <c r="G144" s="11" t="s">
        <v>22</v>
      </c>
      <c r="H144" s="11">
        <v>5.0</v>
      </c>
      <c r="I144" s="11">
        <v>5.0</v>
      </c>
      <c r="J144" s="11">
        <v>5.0</v>
      </c>
      <c r="K144" s="11">
        <v>5.0</v>
      </c>
      <c r="L144" s="11">
        <v>5.0</v>
      </c>
      <c r="M144" s="11">
        <v>5.0</v>
      </c>
      <c r="N144" s="11">
        <v>5.0</v>
      </c>
      <c r="O144" s="11">
        <v>5.0</v>
      </c>
      <c r="P144" s="11">
        <v>10.0</v>
      </c>
      <c r="Q144" s="14"/>
      <c r="R144" s="14"/>
      <c r="S144" s="13"/>
      <c r="T144" s="13"/>
      <c r="U144" s="13"/>
      <c r="V144" s="13"/>
      <c r="W144" s="13"/>
      <c r="X144" s="13"/>
    </row>
    <row r="145" ht="22.5" customHeight="1">
      <c r="A145" s="10">
        <v>46233.44797439815</v>
      </c>
      <c r="B145" s="11" t="s">
        <v>18</v>
      </c>
      <c r="C145" s="12">
        <v>46178.0</v>
      </c>
      <c r="D145" s="11" t="s">
        <v>23</v>
      </c>
      <c r="E145" s="14"/>
      <c r="F145" s="11" t="s">
        <v>21</v>
      </c>
      <c r="G145" s="11" t="s">
        <v>122</v>
      </c>
      <c r="H145" s="11">
        <v>4.0</v>
      </c>
      <c r="I145" s="11">
        <v>4.0</v>
      </c>
      <c r="J145" s="11">
        <v>4.0</v>
      </c>
      <c r="K145" s="11">
        <v>5.0</v>
      </c>
      <c r="L145" s="11">
        <v>5.0</v>
      </c>
      <c r="M145" s="11">
        <v>5.0</v>
      </c>
      <c r="N145" s="11">
        <v>5.0</v>
      </c>
      <c r="O145" s="11">
        <v>5.0</v>
      </c>
      <c r="P145" s="11">
        <v>10.0</v>
      </c>
      <c r="Q145" s="11" t="s">
        <v>132</v>
      </c>
      <c r="R145" s="14"/>
      <c r="S145" s="13"/>
      <c r="T145" s="13"/>
      <c r="U145" s="13"/>
      <c r="V145" s="13"/>
      <c r="W145" s="13"/>
      <c r="X145" s="13"/>
    </row>
    <row r="146" ht="22.5" customHeight="1">
      <c r="A146" s="10">
        <v>46233.44830148148</v>
      </c>
      <c r="B146" s="11" t="s">
        <v>18</v>
      </c>
      <c r="C146" s="12">
        <v>46239.0</v>
      </c>
      <c r="D146" s="11" t="s">
        <v>23</v>
      </c>
      <c r="E146" s="14"/>
      <c r="F146" s="11" t="s">
        <v>21</v>
      </c>
      <c r="G146" s="11" t="s">
        <v>22</v>
      </c>
      <c r="H146" s="11">
        <v>5.0</v>
      </c>
      <c r="I146" s="11">
        <v>5.0</v>
      </c>
      <c r="J146" s="11">
        <v>5.0</v>
      </c>
      <c r="K146" s="11">
        <v>5.0</v>
      </c>
      <c r="L146" s="11">
        <v>5.0</v>
      </c>
      <c r="M146" s="11">
        <v>5.0</v>
      </c>
      <c r="N146" s="11">
        <v>5.0</v>
      </c>
      <c r="O146" s="11">
        <v>5.0</v>
      </c>
      <c r="P146" s="11">
        <v>10.0</v>
      </c>
      <c r="Q146" s="14"/>
      <c r="R146" s="14"/>
      <c r="S146" s="13"/>
      <c r="T146" s="13"/>
      <c r="U146" s="13"/>
      <c r="V146" s="13"/>
      <c r="W146" s="13"/>
      <c r="X146" s="13"/>
    </row>
    <row r="147" ht="22.5" customHeight="1">
      <c r="A147" s="10">
        <v>46233.44892650463</v>
      </c>
      <c r="B147" s="11" t="s">
        <v>18</v>
      </c>
      <c r="C147" s="12">
        <v>46208.0</v>
      </c>
      <c r="D147" s="11" t="s">
        <v>23</v>
      </c>
      <c r="E147" s="14"/>
      <c r="F147" s="11" t="s">
        <v>21</v>
      </c>
      <c r="G147" s="11" t="s">
        <v>22</v>
      </c>
      <c r="H147" s="11">
        <v>5.0</v>
      </c>
      <c r="I147" s="11">
        <v>5.0</v>
      </c>
      <c r="J147" s="11">
        <v>5.0</v>
      </c>
      <c r="K147" s="11">
        <v>5.0</v>
      </c>
      <c r="L147" s="11">
        <v>5.0</v>
      </c>
      <c r="M147" s="11">
        <v>5.0</v>
      </c>
      <c r="N147" s="11">
        <v>5.0</v>
      </c>
      <c r="O147" s="11">
        <v>5.0</v>
      </c>
      <c r="P147" s="11">
        <v>10.0</v>
      </c>
      <c r="Q147" s="11" t="s">
        <v>133</v>
      </c>
      <c r="R147" s="14"/>
      <c r="S147" s="13"/>
      <c r="T147" s="13"/>
      <c r="U147" s="13"/>
      <c r="V147" s="13"/>
      <c r="W147" s="13"/>
      <c r="X147" s="13"/>
    </row>
    <row r="148" ht="22.5" customHeight="1">
      <c r="A148" s="10">
        <v>46233.4494527662</v>
      </c>
      <c r="B148" s="11" t="s">
        <v>18</v>
      </c>
      <c r="C148" s="12">
        <v>46209.0</v>
      </c>
      <c r="D148" s="11" t="s">
        <v>23</v>
      </c>
      <c r="E148" s="14"/>
      <c r="F148" s="11" t="s">
        <v>21</v>
      </c>
      <c r="G148" s="11" t="s">
        <v>134</v>
      </c>
      <c r="H148" s="11">
        <v>5.0</v>
      </c>
      <c r="I148" s="11">
        <v>5.0</v>
      </c>
      <c r="J148" s="11">
        <v>5.0</v>
      </c>
      <c r="K148" s="11">
        <v>5.0</v>
      </c>
      <c r="L148" s="11">
        <v>5.0</v>
      </c>
      <c r="M148" s="11">
        <v>5.0</v>
      </c>
      <c r="N148" s="11">
        <v>5.0</v>
      </c>
      <c r="O148" s="11">
        <v>5.0</v>
      </c>
      <c r="P148" s="11">
        <v>10.0</v>
      </c>
      <c r="Q148" s="14"/>
      <c r="R148" s="14"/>
      <c r="S148" s="13"/>
      <c r="T148" s="13"/>
      <c r="U148" s="13"/>
      <c r="V148" s="13"/>
      <c r="W148" s="13"/>
      <c r="X148" s="13"/>
    </row>
    <row r="149" ht="22.5" customHeight="1">
      <c r="A149" s="7">
        <v>46302.47486940972</v>
      </c>
      <c r="B149" s="8" t="s">
        <v>18</v>
      </c>
      <c r="C149" s="9">
        <v>46302.0</v>
      </c>
      <c r="D149" s="8" t="s">
        <v>19</v>
      </c>
      <c r="E149" s="8" t="s">
        <v>59</v>
      </c>
      <c r="F149" s="8" t="s">
        <v>21</v>
      </c>
      <c r="G149" s="8" t="s">
        <v>53</v>
      </c>
      <c r="H149" s="8">
        <v>5.0</v>
      </c>
      <c r="I149" s="8">
        <v>5.0</v>
      </c>
      <c r="J149" s="8">
        <v>5.0</v>
      </c>
      <c r="K149" s="8">
        <v>5.0</v>
      </c>
      <c r="L149" s="8">
        <v>5.0</v>
      </c>
      <c r="M149" s="8">
        <v>5.0</v>
      </c>
      <c r="N149" s="8">
        <v>5.0</v>
      </c>
      <c r="O149" s="8">
        <v>5.0</v>
      </c>
      <c r="P149" s="8">
        <v>10.0</v>
      </c>
    </row>
    <row r="150" ht="22.5" customHeight="1">
      <c r="A150" s="7">
        <v>46302.48019054398</v>
      </c>
      <c r="B150" s="8" t="s">
        <v>18</v>
      </c>
      <c r="C150" s="9">
        <v>46302.0</v>
      </c>
      <c r="D150" s="8" t="s">
        <v>19</v>
      </c>
      <c r="E150" s="8" t="s">
        <v>135</v>
      </c>
      <c r="F150" s="8" t="s">
        <v>21</v>
      </c>
      <c r="G150" s="8" t="s">
        <v>53</v>
      </c>
      <c r="H150" s="8">
        <v>5.0</v>
      </c>
      <c r="J150" s="8">
        <v>5.0</v>
      </c>
      <c r="K150" s="8">
        <v>5.0</v>
      </c>
      <c r="L150" s="8">
        <v>5.0</v>
      </c>
      <c r="M150" s="8">
        <v>5.0</v>
      </c>
      <c r="N150" s="8">
        <v>5.0</v>
      </c>
      <c r="O150" s="8">
        <v>5.0</v>
      </c>
      <c r="P150" s="8">
        <v>10.0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>
        <f>IFERROR(__xludf.DUMMYFUNCTION("FILTER({'Form Responses 1'!A2:A222, 'Form Responses 1'!Q2:Q222, 'Form Responses 1'!R2:R222}, ('Form Responses 1'!Q2:Q222 &lt;&gt; """") + ('Form Responses 1'!R2:R222 &lt;&gt; """"))"),45943.68706568287)</f>
        <v>45943.68707</v>
      </c>
      <c r="B1" s="21" t="str">
        <f>IFERROR(__xludf.DUMMYFUNCTION("""COMPUTED_VALUE"""),"Fast transaction. Thank you")</f>
        <v>Fast transaction. Thank you</v>
      </c>
      <c r="C1" s="21"/>
    </row>
    <row r="2">
      <c r="A2" s="20">
        <f>IFERROR(__xludf.DUMMYFUNCTION("""COMPUTED_VALUE"""),45946.552150648145)</f>
        <v>45946.55215</v>
      </c>
      <c r="B2" s="21" t="str">
        <f>IFERROR(__xludf.DUMMYFUNCTION("""COMPUTED_VALUE"""),"Very Accomodating and response fast to queries .")</f>
        <v>Very Accomodating and response fast to queries .</v>
      </c>
      <c r="C2" s="21"/>
    </row>
    <row r="3">
      <c r="A3" s="20">
        <f>IFERROR(__xludf.DUMMYFUNCTION("""COMPUTED_VALUE"""),45953.67156912037)</f>
        <v>45953.67157</v>
      </c>
      <c r="B3" s="21" t="str">
        <f>IFERROR(__xludf.DUMMYFUNCTION("""COMPUTED_VALUE"""),"Responsive")</f>
        <v>Responsive</v>
      </c>
      <c r="C3" s="21"/>
    </row>
    <row r="4">
      <c r="A4" s="20">
        <f>IFERROR(__xludf.DUMMYFUNCTION("""COMPUTED_VALUE"""),45967.68038371528)</f>
        <v>45967.68038</v>
      </c>
      <c r="B4" s="21" t="str">
        <f>IFERROR(__xludf.DUMMYFUNCTION("""COMPUTED_VALUE"""),"The staffs are very approachable and give a quick response. Thank you very much.")</f>
        <v>The staffs are very approachable and give a quick response. Thank you very much.</v>
      </c>
      <c r="C4" s="21" t="str">
        <f>IFERROR(__xludf.DUMMYFUNCTION("""COMPUTED_VALUE"""),"Just continue the very good service.")</f>
        <v>Just continue the very good service.</v>
      </c>
    </row>
    <row r="5">
      <c r="A5" s="20">
        <f>IFERROR(__xludf.DUMMYFUNCTION("""COMPUTED_VALUE"""),45973.64719674768)</f>
        <v>45973.6472</v>
      </c>
      <c r="B5" s="21" t="str">
        <f>IFERROR(__xludf.DUMMYFUNCTION("""COMPUTED_VALUE"""),"Excellent")</f>
        <v>Excellent</v>
      </c>
      <c r="C5" s="21" t="str">
        <f>IFERROR(__xludf.DUMMYFUNCTION("""COMPUTED_VALUE"""),"None")</f>
        <v>None</v>
      </c>
    </row>
    <row r="6">
      <c r="A6" s="20">
        <f>IFERROR(__xludf.DUMMYFUNCTION("""COMPUTED_VALUE"""),45975.41850696759)</f>
        <v>45975.41851</v>
      </c>
      <c r="B6" s="21" t="str">
        <f>IFERROR(__xludf.DUMMYFUNCTION("""COMPUTED_VALUE"""),"The service is good")</f>
        <v>The service is good</v>
      </c>
      <c r="C6" s="21" t="str">
        <f>IFERROR(__xludf.DUMMYFUNCTION("""COMPUTED_VALUE"""),"None")</f>
        <v>None</v>
      </c>
    </row>
    <row r="7">
      <c r="A7" s="20">
        <f>IFERROR(__xludf.DUMMYFUNCTION("""COMPUTED_VALUE"""),45975.47637621527)</f>
        <v>45975.47638</v>
      </c>
      <c r="B7" s="21" t="str">
        <f>IFERROR(__xludf.DUMMYFUNCTION("""COMPUTED_VALUE"""),"The staff are can easily be approach or approachable, willing to help the client, the connectivity in order to upload our data..Very consistent in terms of Service. Congratulations!")</f>
        <v>The staff are can easily be approach or approachable, willing to help the client, the connectivity in order to upload our data..Very consistent in terms of Service. Congratulations!</v>
      </c>
      <c r="C7" s="21"/>
    </row>
    <row r="8">
      <c r="A8" s="20">
        <f>IFERROR(__xludf.DUMMYFUNCTION("""COMPUTED_VALUE"""),45975.586831030094)</f>
        <v>45975.58683</v>
      </c>
      <c r="B8" s="21" t="str">
        <f>IFERROR(__xludf.DUMMYFUNCTION("""COMPUTED_VALUE"""),"the services provided by the office was very accommodating and approachable.")</f>
        <v>the services provided by the office was very accommodating and approachable.</v>
      </c>
      <c r="C8" s="21" t="str">
        <f>IFERROR(__xludf.DUMMYFUNCTION("""COMPUTED_VALUE"""),"none")</f>
        <v>none</v>
      </c>
    </row>
    <row r="9">
      <c r="A9" s="20">
        <f>IFERROR(__xludf.DUMMYFUNCTION("""COMPUTED_VALUE"""),45975.608258148146)</f>
        <v>45975.60826</v>
      </c>
      <c r="B9" s="21" t="str">
        <f>IFERROR(__xludf.DUMMYFUNCTION("""COMPUTED_VALUE"""),"Excellent ")</f>
        <v>Excellent </v>
      </c>
      <c r="C9" s="21" t="str">
        <f>IFERROR(__xludf.DUMMYFUNCTION("""COMPUTED_VALUE"""),"None ")</f>
        <v>None </v>
      </c>
    </row>
    <row r="10">
      <c r="A10" s="20">
        <f>IFERROR(__xludf.DUMMYFUNCTION("""COMPUTED_VALUE"""),45980.398047627314)</f>
        <v>45980.39805</v>
      </c>
      <c r="B10" s="21" t="str">
        <f>IFERROR(__xludf.DUMMYFUNCTION("""COMPUTED_VALUE"""),"Excellent Service")</f>
        <v>Excellent Service</v>
      </c>
      <c r="C10" s="21" t="str">
        <f>IFERROR(__xludf.DUMMYFUNCTION("""COMPUTED_VALUE"""),"Keep it as your BEST Practice!")</f>
        <v>Keep it as your BEST Practice!</v>
      </c>
    </row>
    <row r="11">
      <c r="A11" s="20">
        <f>IFERROR(__xludf.DUMMYFUNCTION("""COMPUTED_VALUE"""),45994.85121270834)</f>
        <v>45994.85121</v>
      </c>
      <c r="B11" s="21" t="str">
        <f>IFERROR(__xludf.DUMMYFUNCTION("""COMPUTED_VALUE"""),"None")</f>
        <v>None</v>
      </c>
      <c r="C11" s="21" t="str">
        <f>IFERROR(__xludf.DUMMYFUNCTION("""COMPUTED_VALUE"""),"Instructions on uploading.")</f>
        <v>Instructions on uploading.</v>
      </c>
    </row>
    <row r="12">
      <c r="A12" s="20">
        <f>IFERROR(__xludf.DUMMYFUNCTION("""COMPUTED_VALUE"""),46000.44270034722)</f>
        <v>46000.4427</v>
      </c>
      <c r="B12" s="21" t="str">
        <f>IFERROR(__xludf.DUMMYFUNCTION("""COMPUTED_VALUE"""),"Very quick and seamless")</f>
        <v>Very quick and seamless</v>
      </c>
      <c r="C12" s="21" t="str">
        <f>IFERROR(__xludf.DUMMYFUNCTION("""COMPUTED_VALUE""")," ")</f>
        <v> </v>
      </c>
    </row>
    <row r="13">
      <c r="A13" s="20">
        <f>IFERROR(__xludf.DUMMYFUNCTION("""COMPUTED_VALUE"""),46002.67666175926)</f>
        <v>46002.67666</v>
      </c>
      <c r="B13" s="21" t="str">
        <f>IFERROR(__xludf.DUMMYFUNCTION("""COMPUTED_VALUE"""),"Truly grateful for being accommodated with such respect and warmth. ")</f>
        <v>Truly grateful for being accommodated with such respect and warmth. </v>
      </c>
      <c r="C13" s="21"/>
    </row>
    <row r="14">
      <c r="A14" s="20">
        <f>IFERROR(__xludf.DUMMYFUNCTION("""COMPUTED_VALUE"""),46007.432946597226)</f>
        <v>46007.43295</v>
      </c>
      <c r="B14" s="21" t="str">
        <f>IFERROR(__xludf.DUMMYFUNCTION("""COMPUTED_VALUE"""),"excellent")</f>
        <v>excellent</v>
      </c>
      <c r="C14" s="21" t="str">
        <f>IFERROR(__xludf.DUMMYFUNCTION("""COMPUTED_VALUE"""),"None")</f>
        <v>None</v>
      </c>
    </row>
    <row r="15">
      <c r="A15" s="20">
        <f>IFERROR(__xludf.DUMMYFUNCTION("""COMPUTED_VALUE"""),46007.533921423616)</f>
        <v>46007.53392</v>
      </c>
      <c r="B15" s="21" t="str">
        <f>IFERROR(__xludf.DUMMYFUNCTION("""COMPUTED_VALUE"""),"None")</f>
        <v>None</v>
      </c>
      <c r="C15" s="21" t="str">
        <f>IFERROR(__xludf.DUMMYFUNCTION("""COMPUTED_VALUE"""),"None")</f>
        <v>None</v>
      </c>
    </row>
    <row r="16">
      <c r="A16" s="20">
        <f>IFERROR(__xludf.DUMMYFUNCTION("""COMPUTED_VALUE"""),46027.457914004626)</f>
        <v>46027.45791</v>
      </c>
      <c r="B16" s="21" t="str">
        <f>IFERROR(__xludf.DUMMYFUNCTION("""COMPUTED_VALUE"""),"Very nice.")</f>
        <v>Very nice.</v>
      </c>
      <c r="C16" s="21" t="str">
        <f>IFERROR(__xludf.DUMMYFUNCTION("""COMPUTED_VALUE"""),"N/A")</f>
        <v>N/A</v>
      </c>
    </row>
    <row r="17">
      <c r="A17" s="20">
        <f>IFERROR(__xludf.DUMMYFUNCTION("""COMPUTED_VALUE"""),46030.58109420139)</f>
        <v>46030.58109</v>
      </c>
      <c r="B17" s="21" t="str">
        <f>IFERROR(__xludf.DUMMYFUNCTION("""COMPUTED_VALUE"""),"They are very helpful in answering my inquiries.")</f>
        <v>They are very helpful in answering my inquiries.</v>
      </c>
      <c r="C17" s="21" t="str">
        <f>IFERROR(__xludf.DUMMYFUNCTION("""COMPUTED_VALUE"""),"Keep up the good work!")</f>
        <v>Keep up the good work!</v>
      </c>
    </row>
    <row r="18">
      <c r="A18" s="20">
        <f>IFERROR(__xludf.DUMMYFUNCTION("""COMPUTED_VALUE"""),46034.48627460648)</f>
        <v>46034.48627</v>
      </c>
      <c r="B18" s="21" t="str">
        <f>IFERROR(__xludf.DUMMYFUNCTION("""COMPUTED_VALUE"""),"excellent")</f>
        <v>excellent</v>
      </c>
      <c r="C18" s="21"/>
    </row>
    <row r="19">
      <c r="A19" s="20">
        <f>IFERROR(__xludf.DUMMYFUNCTION("""COMPUTED_VALUE"""),46035.58176380787)</f>
        <v>46035.58176</v>
      </c>
      <c r="B19" s="21" t="str">
        <f>IFERROR(__xludf.DUMMYFUNCTION("""COMPUTED_VALUE"""),"All the staff are very Polite and Very Professionalism ")</f>
        <v>All the staff are very Polite and Very Professionalism </v>
      </c>
      <c r="C19" s="21" t="str">
        <f>IFERROR(__xludf.DUMMYFUNCTION("""COMPUTED_VALUE"""),"None ")</f>
        <v>None </v>
      </c>
    </row>
    <row r="20">
      <c r="A20" s="20">
        <f>IFERROR(__xludf.DUMMYFUNCTION("""COMPUTED_VALUE"""),46035.61043241898)</f>
        <v>46035.61043</v>
      </c>
      <c r="B20" s="21" t="str">
        <f>IFERROR(__xludf.DUMMYFUNCTION("""COMPUTED_VALUE"""),"Excellent ")</f>
        <v>Excellent </v>
      </c>
      <c r="C20" s="21"/>
    </row>
    <row r="21">
      <c r="A21" s="20">
        <f>IFERROR(__xludf.DUMMYFUNCTION("""COMPUTED_VALUE"""),46043.424519849534)</f>
        <v>46043.42452</v>
      </c>
      <c r="B21" s="21" t="str">
        <f>IFERROR(__xludf.DUMMYFUNCTION("""COMPUTED_VALUE"""),"Very smooth and fast transaction. Convenient!")</f>
        <v>Very smooth and fast transaction. Convenient!</v>
      </c>
      <c r="C21" s="21" t="str">
        <f>IFERROR(__xludf.DUMMYFUNCTION("""COMPUTED_VALUE"""),"N/A")</f>
        <v>N/A</v>
      </c>
    </row>
    <row r="22">
      <c r="A22" s="20">
        <f>IFERROR(__xludf.DUMMYFUNCTION("""COMPUTED_VALUE"""),46053.61962486111)</f>
        <v>46053.61962</v>
      </c>
      <c r="B22" s="21" t="str">
        <f>IFERROR(__xludf.DUMMYFUNCTION("""COMPUTED_VALUE"""),"Very accommodating ")</f>
        <v>Very accommodating </v>
      </c>
      <c r="C22" s="21" t="str">
        <f>IFERROR(__xludf.DUMMYFUNCTION("""COMPUTED_VALUE"""),"N/A")</f>
        <v>N/A</v>
      </c>
    </row>
    <row r="23">
      <c r="A23" s="20">
        <f>IFERROR(__xludf.DUMMYFUNCTION("""COMPUTED_VALUE"""),46068.45986594907)</f>
        <v>46068.45987</v>
      </c>
      <c r="B23" s="21" t="str">
        <f>IFERROR(__xludf.DUMMYFUNCTION("""COMPUTED_VALUE"""),"The transaction is smooth and fast.")</f>
        <v>The transaction is smooth and fast.</v>
      </c>
      <c r="C23" s="21" t="str">
        <f>IFERROR(__xludf.DUMMYFUNCTION("""COMPUTED_VALUE"""),"None")</f>
        <v>None</v>
      </c>
    </row>
    <row r="24">
      <c r="A24" s="20">
        <f>IFERROR(__xludf.DUMMYFUNCTION("""COMPUTED_VALUE"""),46076.65024916666)</f>
        <v>46076.65025</v>
      </c>
      <c r="B24" s="21" t="str">
        <f>IFERROR(__xludf.DUMMYFUNCTION("""COMPUTED_VALUE"""),"Office provides helpful and organized services. The staff are accommodating and give clear guidance")</f>
        <v>Office provides helpful and organized services. The staff are accommodating and give clear guidance</v>
      </c>
      <c r="C24" s="21"/>
    </row>
    <row r="25">
      <c r="A25" s="20">
        <f>IFERROR(__xludf.DUMMYFUNCTION("""COMPUTED_VALUE"""),46077.4230377662)</f>
        <v>46077.42304</v>
      </c>
      <c r="B25" s="21" t="str">
        <f>IFERROR(__xludf.DUMMYFUNCTION("""COMPUTED_VALUE"""),"The staff and working students are approachable.")</f>
        <v>The staff and working students are approachable.</v>
      </c>
      <c r="C25" s="21"/>
    </row>
    <row r="26">
      <c r="A26" s="20">
        <f>IFERROR(__xludf.DUMMYFUNCTION("""COMPUTED_VALUE"""),46087.6113191551)</f>
        <v>46087.61132</v>
      </c>
      <c r="B26" s="21" t="str">
        <f>IFERROR(__xludf.DUMMYFUNCTION("""COMPUTED_VALUE"""),"Excellent 
Very polite and accommodating staff")</f>
        <v>Excellent 
Very polite and accommodating staff</v>
      </c>
      <c r="C26" s="21" t="str">
        <f>IFERROR(__xludf.DUMMYFUNCTION("""COMPUTED_VALUE"""),"Not
Perfect ")</f>
        <v>Not
Perfect </v>
      </c>
    </row>
    <row r="27">
      <c r="A27" s="20">
        <f>IFERROR(__xludf.DUMMYFUNCTION("""COMPUTED_VALUE"""),46091.50042408565)</f>
        <v>46091.50042</v>
      </c>
      <c r="B27" s="21" t="str">
        <f>IFERROR(__xludf.DUMMYFUNCTION("""COMPUTED_VALUE"""),"Fair and very hospitable.")</f>
        <v>Fair and very hospitable.</v>
      </c>
      <c r="C27" s="21" t="str">
        <f>IFERROR(__xludf.DUMMYFUNCTION("""COMPUTED_VALUE"""),"Maybe faster internet connection, aside from it, all aspect shows excellence!")</f>
        <v>Maybe faster internet connection, aside from it, all aspect shows excellence!</v>
      </c>
    </row>
    <row r="28">
      <c r="A28" s="20">
        <f>IFERROR(__xludf.DUMMYFUNCTION("""COMPUTED_VALUE"""),46094.55885829861)</f>
        <v>46094.55886</v>
      </c>
      <c r="B28" s="21" t="str">
        <f>IFERROR(__xludf.DUMMYFUNCTION("""COMPUTED_VALUE"""),"None")</f>
        <v>None</v>
      </c>
      <c r="C28" s="21" t="str">
        <f>IFERROR(__xludf.DUMMYFUNCTION("""COMPUTED_VALUE"""),"None")</f>
        <v>None</v>
      </c>
    </row>
    <row r="29">
      <c r="A29" s="20">
        <f>IFERROR(__xludf.DUMMYFUNCTION("""COMPUTED_VALUE"""),46101.389188113426)</f>
        <v>46101.38919</v>
      </c>
      <c r="B29" s="21" t="str">
        <f>IFERROR(__xludf.DUMMYFUNCTION("""COMPUTED_VALUE"""),"The staff was really approachable, accommodating, and kind. You should keep this kind of employee. Thank you. ")</f>
        <v>The staff was really approachable, accommodating, and kind. You should keep this kind of employee. Thank you. </v>
      </c>
      <c r="C29" s="21"/>
    </row>
    <row r="30">
      <c r="A30" s="20">
        <f>IFERROR(__xludf.DUMMYFUNCTION("""COMPUTED_VALUE"""),46104.43975335648)</f>
        <v>46104.43975</v>
      </c>
      <c r="B30" s="21" t="str">
        <f>IFERROR(__xludf.DUMMYFUNCTION("""COMPUTED_VALUE""")," ")</f>
        <v> </v>
      </c>
      <c r="C30" s="21" t="str">
        <f>IFERROR(__xludf.DUMMYFUNCTION("""COMPUTED_VALUE""")," ")</f>
        <v> </v>
      </c>
    </row>
    <row r="31">
      <c r="A31" s="20">
        <f>IFERROR(__xludf.DUMMYFUNCTION("""COMPUTED_VALUE"""),46106.918452453705)</f>
        <v>46106.91845</v>
      </c>
      <c r="B31" s="21" t="str">
        <f>IFERROR(__xludf.DUMMYFUNCTION("""COMPUTED_VALUE"""),"N/A")</f>
        <v>N/A</v>
      </c>
      <c r="C31" s="21" t="str">
        <f>IFERROR(__xludf.DUMMYFUNCTION("""COMPUTED_VALUE"""),"N/A")</f>
        <v>N/A</v>
      </c>
    </row>
    <row r="32">
      <c r="A32" s="20">
        <f>IFERROR(__xludf.DUMMYFUNCTION("""COMPUTED_VALUE"""),46108.79459542824)</f>
        <v>46108.7946</v>
      </c>
      <c r="B32" s="21" t="str">
        <f>IFERROR(__xludf.DUMMYFUNCTION("""COMPUTED_VALUE"""),"Exemplary")</f>
        <v>Exemplary</v>
      </c>
      <c r="C32" s="21" t="str">
        <f>IFERROR(__xludf.DUMMYFUNCTION("""COMPUTED_VALUE"""),"“It would be better to place clear signage in strategic areas since the office is a bit hard to find. Directional signs like ‘This Way to the Research Office’ would really help clients locate and improve their overall experience.” Thank You!")</f>
        <v>“It would be better to place clear signage in strategic areas since the office is a bit hard to find. Directional signs like ‘This Way to the Research Office’ would really help clients locate and improve their overall experience.” Thank You!</v>
      </c>
    </row>
    <row r="33">
      <c r="A33" s="20">
        <f>IFERROR(__xludf.DUMMYFUNCTION("""COMPUTED_VALUE"""),46109.811460428245)</f>
        <v>46109.81146</v>
      </c>
      <c r="B33" s="21" t="str">
        <f>IFERROR(__xludf.DUMMYFUNCTION("""COMPUTED_VALUE"""),"The office services was knowledgeable and helpful staff. ")</f>
        <v>The office services was knowledgeable and helpful staff. </v>
      </c>
      <c r="C33" s="21" t="str">
        <f>IFERROR(__xludf.DUMMYFUNCTION("""COMPUTED_VALUE"""),"Improve customer experience by providing faster feedback and timely updates on online transactions")</f>
        <v>Improve customer experience by providing faster feedback and timely updates on online transactions</v>
      </c>
    </row>
    <row r="34">
      <c r="A34" s="20">
        <f>IFERROR(__xludf.DUMMYFUNCTION("""COMPUTED_VALUE"""),46122.336820717595)</f>
        <v>46122.33682</v>
      </c>
      <c r="B34" s="21" t="str">
        <f>IFERROR(__xludf.DUMMYFUNCTION("""COMPUTED_VALUE"""),"None")</f>
        <v>None</v>
      </c>
      <c r="C34" s="21" t="str">
        <f>IFERROR(__xludf.DUMMYFUNCTION("""COMPUTED_VALUE"""),"None")</f>
        <v>None</v>
      </c>
    </row>
    <row r="35">
      <c r="A35" s="20">
        <f>IFERROR(__xludf.DUMMYFUNCTION("""COMPUTED_VALUE"""),46126.40964489583)</f>
        <v>46126.40964</v>
      </c>
      <c r="B35" s="21" t="str">
        <f>IFERROR(__xludf.DUMMYFUNCTION("""COMPUTED_VALUE"""),"Thank you so much and God Bless")</f>
        <v>Thank you so much and God Bless</v>
      </c>
      <c r="C35" s="21"/>
    </row>
    <row r="36">
      <c r="A36" s="20">
        <f>IFERROR(__xludf.DUMMYFUNCTION("""COMPUTED_VALUE"""),46126.64487577546)</f>
        <v>46126.64488</v>
      </c>
      <c r="B36" s="21" t="str">
        <f>IFERROR(__xludf.DUMMYFUNCTION("""COMPUTED_VALUE"""),"NA")</f>
        <v>NA</v>
      </c>
      <c r="C36" s="21" t="str">
        <f>IFERROR(__xludf.DUMMYFUNCTION("""COMPUTED_VALUE"""),"NA")</f>
        <v>NA</v>
      </c>
    </row>
    <row r="37">
      <c r="A37" s="20">
        <f>IFERROR(__xludf.DUMMYFUNCTION("""COMPUTED_VALUE"""),46126.75850211806)</f>
        <v>46126.7585</v>
      </c>
      <c r="B37" s="21" t="str">
        <f>IFERROR(__xludf.DUMMYFUNCTION("""COMPUTED_VALUE"""),"The services provided by the office were very helpful and efficient. The guidance and tools, especially Turnitin, greatly assisted me in improving my work and reducing my similarity score.")</f>
        <v>The services provided by the office were very helpful and efficient. The guidance and tools, especially Turnitin, greatly assisted me in improving my work and reducing my similarity score.</v>
      </c>
      <c r="C37" s="21" t="str">
        <f>IFERROR(__xludf.DUMMYFUNCTION("""COMPUTED_VALUE"""),"To further improve customer experience, the office may consider providing clearer guidelines or tutorials on how to reduce similarity scores and properly use Turnitin.")</f>
        <v>To further improve customer experience, the office may consider providing clearer guidelines or tutorials on how to reduce similarity scores and properly use Turnitin.</v>
      </c>
    </row>
    <row r="38">
      <c r="A38" s="20">
        <f>IFERROR(__xludf.DUMMYFUNCTION("""COMPUTED_VALUE"""),46126.83206127315)</f>
        <v>46126.83206</v>
      </c>
      <c r="B38" s="21" t="str">
        <f>IFERROR(__xludf.DUMMYFUNCTION("""COMPUTED_VALUE"""),"Everyone is accommodating and helpful")</f>
        <v>Everyone is accommodating and helpful</v>
      </c>
      <c r="C38" s="21" t="str">
        <f>IFERROR(__xludf.DUMMYFUNCTION("""COMPUTED_VALUE"""),"None")</f>
        <v>None</v>
      </c>
    </row>
    <row r="39">
      <c r="A39" s="20">
        <f>IFERROR(__xludf.DUMMYFUNCTION("""COMPUTED_VALUE"""),46128.547095057875)</f>
        <v>46128.5471</v>
      </c>
      <c r="B39" s="21" t="str">
        <f>IFERROR(__xludf.DUMMYFUNCTION("""COMPUTED_VALUE"""),"Excellent service that ended to a satisfied customer.")</f>
        <v>Excellent service that ended to a satisfied customer.</v>
      </c>
      <c r="C39" s="21" t="str">
        <f>IFERROR(__xludf.DUMMYFUNCTION("""COMPUTED_VALUE"""),"Keep it up. ")</f>
        <v>Keep it up. </v>
      </c>
    </row>
    <row r="40">
      <c r="A40" s="20">
        <f>IFERROR(__xludf.DUMMYFUNCTION("""COMPUTED_VALUE"""),46128.55222694445)</f>
        <v>46128.55223</v>
      </c>
      <c r="B40" s="21" t="str">
        <f>IFERROR(__xludf.DUMMYFUNCTION("""COMPUTED_VALUE"""),"Excellence service ")</f>
        <v>Excellence service </v>
      </c>
      <c r="C40" s="21" t="str">
        <f>IFERROR(__xludf.DUMMYFUNCTION("""COMPUTED_VALUE"""),"Good service and very accommodating. Thank you")</f>
        <v>Good service and very accommodating. Thank you</v>
      </c>
    </row>
    <row r="41">
      <c r="A41" s="20">
        <f>IFERROR(__xludf.DUMMYFUNCTION("""COMPUTED_VALUE"""),46128.55261488426)</f>
        <v>46128.55261</v>
      </c>
      <c r="B41" s="21" t="str">
        <f>IFERROR(__xludf.DUMMYFUNCTION("""COMPUTED_VALUE"""),"Best service")</f>
        <v>Best service</v>
      </c>
      <c r="C41" s="21"/>
    </row>
    <row r="42">
      <c r="A42" s="20">
        <f>IFERROR(__xludf.DUMMYFUNCTION("""COMPUTED_VALUE"""),46136.428888229166)</f>
        <v>46136.42889</v>
      </c>
      <c r="B42" s="21" t="str">
        <f>IFERROR(__xludf.DUMMYFUNCTION("""COMPUTED_VALUE"""),"Very accommodating, kind and approachable. She shows her best smile always. Thank you so much, Ma'am Gallaza. You're the best ❤️")</f>
        <v>Very accommodating, kind and approachable. She shows her best smile always. Thank you so much, Ma'am Gallaza. You're the best ❤️</v>
      </c>
      <c r="C42" s="21"/>
    </row>
    <row r="43">
      <c r="A43" s="20">
        <f>IFERROR(__xludf.DUMMYFUNCTION("""COMPUTED_VALUE"""),46142.43785578704)</f>
        <v>46142.43786</v>
      </c>
      <c r="B43" s="21" t="str">
        <f>IFERROR(__xludf.DUMMYFUNCTION("""COMPUTED_VALUE"""),"N/A")</f>
        <v>N/A</v>
      </c>
      <c r="C43" s="21" t="str">
        <f>IFERROR(__xludf.DUMMYFUNCTION("""COMPUTED_VALUE"""),"N/A")</f>
        <v>N/A</v>
      </c>
    </row>
    <row r="44">
      <c r="A44" s="20">
        <f>IFERROR(__xludf.DUMMYFUNCTION("""COMPUTED_VALUE"""),46146.630736493054)</f>
        <v>46146.63074</v>
      </c>
      <c r="B44" s="21" t="str">
        <f>IFERROR(__xludf.DUMMYFUNCTION("""COMPUTED_VALUE"""),"n/a")</f>
        <v>n/a</v>
      </c>
      <c r="C44" s="21" t="str">
        <f>IFERROR(__xludf.DUMMYFUNCTION("""COMPUTED_VALUE"""),"n/a")</f>
        <v>n/a</v>
      </c>
    </row>
    <row r="45">
      <c r="A45" s="20">
        <f>IFERROR(__xludf.DUMMYFUNCTION("""COMPUTED_VALUE"""),46155.06172053241)</f>
        <v>46155.06172</v>
      </c>
      <c r="B45" s="21" t="str">
        <f>IFERROR(__xludf.DUMMYFUNCTION("""COMPUTED_VALUE"""),"the transaction was faster and it meet my needs, thank you!")</f>
        <v>the transaction was faster and it meet my needs, thank you!</v>
      </c>
      <c r="C45" s="21" t="str">
        <f>IFERROR(__xludf.DUMMYFUNCTION("""COMPUTED_VALUE"""),"none")</f>
        <v>none</v>
      </c>
    </row>
    <row r="46">
      <c r="A46" s="20">
        <f>IFERROR(__xludf.DUMMYFUNCTION("""COMPUTED_VALUE"""),46163.50555509259)</f>
        <v>46163.50556</v>
      </c>
      <c r="B46" s="21" t="str">
        <f>IFERROR(__xludf.DUMMYFUNCTION("""COMPUTED_VALUE"""),"Respoinsive and timely.")</f>
        <v>Respoinsive and timely.</v>
      </c>
      <c r="C46" s="21"/>
    </row>
    <row r="47">
      <c r="A47" s="20">
        <f>IFERROR(__xludf.DUMMYFUNCTION("""COMPUTED_VALUE"""),46210.95790217593)</f>
        <v>46210.9579</v>
      </c>
      <c r="B47" s="21" t="str">
        <f>IFERROR(__xludf.DUMMYFUNCTION("""COMPUTED_VALUE"""),"good and very accommodating. thank you!")</f>
        <v>good and very accommodating. thank you!</v>
      </c>
      <c r="C47" s="21" t="str">
        <f>IFERROR(__xludf.DUMMYFUNCTION("""COMPUTED_VALUE"""),"none")</f>
        <v>none</v>
      </c>
    </row>
    <row r="48">
      <c r="A48" s="20">
        <f>IFERROR(__xludf.DUMMYFUNCTION("""COMPUTED_VALUE"""),46233.43203131945)</f>
        <v>46233.43203</v>
      </c>
      <c r="B48" s="21" t="str">
        <f>IFERROR(__xludf.DUMMYFUNCTION("""COMPUTED_VALUE"""),"it's fast and accommodating")</f>
        <v>it's fast and accommodating</v>
      </c>
      <c r="C48" s="21"/>
    </row>
    <row r="49">
      <c r="A49" s="20">
        <f>IFERROR(__xludf.DUMMYFUNCTION("""COMPUTED_VALUE"""),46233.433987488424)</f>
        <v>46233.43399</v>
      </c>
      <c r="B49" s="21" t="str">
        <f>IFERROR(__xludf.DUMMYFUNCTION("""COMPUTED_VALUE"""),"Thank you so much Filamerians and God bless")</f>
        <v>Thank you so much Filamerians and God bless</v>
      </c>
      <c r="C49" s="21"/>
    </row>
    <row r="50">
      <c r="A50" s="20">
        <f>IFERROR(__xludf.DUMMYFUNCTION("""COMPUTED_VALUE"""),46233.43448548611)</f>
        <v>46233.43449</v>
      </c>
      <c r="B50" s="21" t="str">
        <f>IFERROR(__xludf.DUMMYFUNCTION("""COMPUTED_VALUE"""),"Very satified
")</f>
        <v>Very satified
</v>
      </c>
      <c r="C50" s="21"/>
    </row>
    <row r="51">
      <c r="A51" s="20">
        <f>IFERROR(__xludf.DUMMYFUNCTION("""COMPUTED_VALUE"""),46233.43627883102)</f>
        <v>46233.43628</v>
      </c>
      <c r="B51" s="21" t="str">
        <f>IFERROR(__xludf.DUMMYFUNCTION("""COMPUTED_VALUE"""),"Very approachable and accommodating staff Thank you")</f>
        <v>Very approachable and accommodating staff Thank you</v>
      </c>
      <c r="C51" s="21"/>
    </row>
    <row r="52">
      <c r="A52" s="20">
        <f>IFERROR(__xludf.DUMMYFUNCTION("""COMPUTED_VALUE"""),46233.436919583335)</f>
        <v>46233.43692</v>
      </c>
      <c r="B52" s="21" t="str">
        <f>IFERROR(__xludf.DUMMYFUNCTION("""COMPUTED_VALUE"""),"Thank you for a well-accommodated transaction")</f>
        <v>Thank you for a well-accommodated transaction</v>
      </c>
      <c r="C52" s="21"/>
    </row>
    <row r="53">
      <c r="A53" s="20">
        <f>IFERROR(__xludf.DUMMYFUNCTION("""COMPUTED_VALUE"""),46233.43733446759)</f>
        <v>46233.43733</v>
      </c>
      <c r="B53" s="21" t="str">
        <f>IFERROR(__xludf.DUMMYFUNCTION("""COMPUTED_VALUE"""),"Thank you for your service")</f>
        <v>Thank you for your service</v>
      </c>
      <c r="C53" s="21"/>
    </row>
    <row r="54">
      <c r="A54" s="20">
        <f>IFERROR(__xludf.DUMMYFUNCTION("""COMPUTED_VALUE"""),46233.43951079861)</f>
        <v>46233.43951</v>
      </c>
      <c r="B54" s="21" t="str">
        <f>IFERROR(__xludf.DUMMYFUNCTION("""COMPUTED_VALUE"""),"Thank you very much")</f>
        <v>Thank you very much</v>
      </c>
      <c r="C54" s="21"/>
    </row>
    <row r="55">
      <c r="A55" s="20">
        <f>IFERROR(__xludf.DUMMYFUNCTION("""COMPUTED_VALUE"""),46233.44678658565)</f>
        <v>46233.44679</v>
      </c>
      <c r="B55" s="21" t="str">
        <f>IFERROR(__xludf.DUMMYFUNCTION("""COMPUTED_VALUE"""),"keep up the exemplary performance thank you")</f>
        <v>keep up the exemplary performance thank you</v>
      </c>
      <c r="C55" s="21"/>
    </row>
    <row r="56">
      <c r="A56" s="20">
        <f>IFERROR(__xludf.DUMMYFUNCTION("""COMPUTED_VALUE"""),46233.44797439815)</f>
        <v>46233.44797</v>
      </c>
      <c r="B56" s="21" t="str">
        <f>IFERROR(__xludf.DUMMYFUNCTION("""COMPUTED_VALUE"""),"check")</f>
        <v>check</v>
      </c>
      <c r="C56" s="21"/>
    </row>
    <row r="57">
      <c r="A57" s="20">
        <f>IFERROR(__xludf.DUMMYFUNCTION("""COMPUTED_VALUE"""),46233.44892650463)</f>
        <v>46233.44893</v>
      </c>
      <c r="B57" s="21" t="str">
        <f>IFERROR(__xludf.DUMMYFUNCTION("""COMPUTED_VALUE"""),"great job thank you")</f>
        <v>great job thank you</v>
      </c>
      <c r="C57" s="21"/>
    </row>
  </sheetData>
  <drawing r:id="rId1"/>
</worksheet>
</file>